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firstSheet="1" activeTab="1"/>
  </bookViews>
  <sheets>
    <sheet name="Summary" sheetId="1" r:id="rId1"/>
    <sheet name="Final_Dataset" sheetId="2" r:id="rId2"/>
    <sheet name="Route_Steps" sheetId="3" r:id="rId3"/>
    <sheet name="Raw_Nodes" sheetId="4" r:id="rId4"/>
    <sheet name="Traffic_Source" sheetId="6" r:id="rId5"/>
    <sheet name="Unit_Conversion" sheetId="7" r:id="rId6"/>
    <sheet name="VinFast_Source_Rates" sheetId="8" r:id="rId7"/>
    <sheet name="Assumption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<sst xmlns="http://schemas.openxmlformats.org/spreadsheetml/2006/main" count="1270" uniqueCount="452">
  <si>
    <t>Instance ID</t>
  </si>
  <si>
    <t>Routes (count)</t>
  </si>
  <si>
    <t>Deliveries (stops)</t>
  </si>
  <si>
    <t>Total distance (km, approx)</t>
  </si>
  <si>
    <t>Total energy consumption (kWh, VinFast VF8 est.)</t>
  </si>
  <si>
    <t>Total recharge energy after route (kWh, est.)</t>
  </si>
  <si>
    <t>Charging cost to replenish routes (VND)</t>
  </si>
  <si>
    <t>CO₂ reduction (kg CO₂)</t>
  </si>
  <si>
    <t>Traffic level</t>
  </si>
  <si>
    <t>Route count</t>
  </si>
  <si>
    <t>Source</t>
  </si>
  <si>
    <t>c101C10</t>
  </si>
  <si>
    <t>Light</t>
  </si>
  <si>
    <t>train.csv LOS-derived</t>
  </si>
  <si>
    <t>r102C10</t>
  </si>
  <si>
    <t>Medium</t>
  </si>
  <si>
    <t>rc102C10</t>
  </si>
  <si>
    <t>Heavy</t>
  </si>
  <si>
    <t>TOTAL</t>
  </si>
  <si>
    <t>Conversion note</t>
  </si>
  <si>
    <t>VinFast-based physical energy estimate</t>
  </si>
  <si>
    <t>Distance</t>
  </si>
  <si>
    <t>1 Euclidean distance unit ≈ 1 km</t>
  </si>
  <si>
    <t>Energy</t>
  </si>
  <si>
    <t>VinFast VF 8 consumption = 20 kWh/100 km = 0.20 kWh/km</t>
  </si>
  <si>
    <t>Charging cost</t>
  </si>
  <si>
    <t>Recharge energy × 3,858 VND/kWh</t>
  </si>
  <si>
    <t>Time</t>
  </si>
  <si>
    <t>1 benchmark time unit ≈ 1 minute; recharge time uses g min/kWh</t>
  </si>
  <si>
    <t>Reason</t>
  </si>
  <si>
    <t>Avoids the incorrect assumption 1 km = 1 kWh; uses the VinFast source as a real-world approximation.</t>
  </si>
  <si>
    <t>Route ID</t>
  </si>
  <si>
    <t>Vehicle ID</t>
  </si>
  <si>
    <t>Start time (HH:MM)</t>
  </si>
  <si>
    <t>Start time offset (min, approx)</t>
  </si>
  <si>
    <t>Route sequence (node IDs)</t>
  </si>
  <si>
    <t>Total route distance (km, approx)</t>
  </si>
  <si>
    <t>Energy consumption (kWh, VinFast VF8 est.)</t>
  </si>
  <si>
    <t>SOC after route (%)</t>
  </si>
  <si>
    <t>Recharge energy after route (kWh, est.)</t>
  </si>
  <si>
    <t>Estimated recharge time after route (min)</t>
  </si>
  <si>
    <t>Charging cost to replenish route (VND)</t>
  </si>
  <si>
    <t>Traffic period (30-min)</t>
  </si>
  <si>
    <t>Traffic LOS (A-F)</t>
  </si>
  <si>
    <t>Traffic level (LOS-derived)</t>
  </si>
  <si>
    <t>Traffic mapping note</t>
  </si>
  <si>
    <t>Delivery count (stops)</t>
  </si>
  <si>
    <t>Total demand (load unit)</t>
  </si>
  <si>
    <t>Time window status</t>
  </si>
  <si>
    <t>Notes</t>
  </si>
  <si>
    <t>R_C101_01</t>
  </si>
  <si>
    <t>EV_C101_01</t>
  </si>
  <si>
    <t>09:57</t>
  </si>
  <si>
    <t>D0 → C96 → C95 → S3 → D0</t>
  </si>
  <si>
    <t>period_9_30</t>
  </si>
  <si>
    <t>C</t>
  </si>
  <si>
    <t>Matched route start time to train.csv period</t>
  </si>
  <si>
    <t>OK</t>
  </si>
  <si>
    <t>early clustered north customers</t>
  </si>
  <si>
    <t>R_C101_02</t>
  </si>
  <si>
    <t>EV_C101_02</t>
  </si>
  <si>
    <t>10:01</t>
  </si>
  <si>
    <t>D0 → C98 → D0</t>
  </si>
  <si>
    <t>period_10_00</t>
  </si>
  <si>
    <t>B</t>
  </si>
  <si>
    <t>single early north customer</t>
  </si>
  <si>
    <t>R_C101_03</t>
  </si>
  <si>
    <t>EV_C101_03</t>
  </si>
  <si>
    <t>11:23</t>
  </si>
  <si>
    <t>D0 → C27 → C4 → D0</t>
  </si>
  <si>
    <t>period_11_00</t>
  </si>
  <si>
    <t>west/north mid-window customers</t>
  </si>
  <si>
    <t>R_C101_04</t>
  </si>
  <si>
    <t>EV_C101_04</t>
  </si>
  <si>
    <t>18:07</t>
  </si>
  <si>
    <t>D0 → C78 → S20 → D0</t>
  </si>
  <si>
    <t>period_18_00</t>
  </si>
  <si>
    <t>D</t>
  </si>
  <si>
    <t>east customer with recharge before return</t>
  </si>
  <si>
    <t>R_C101_05</t>
  </si>
  <si>
    <t>EV_C101_05</t>
  </si>
  <si>
    <t>19:24</t>
  </si>
  <si>
    <t>D0 → C100 → S3 → C89 → D0</t>
  </si>
  <si>
    <t>period_19_00</t>
  </si>
  <si>
    <t>north-east to central customer with recharge</t>
  </si>
  <si>
    <t>R_C101_06</t>
  </si>
  <si>
    <t>EV_C101_06</t>
  </si>
  <si>
    <t>20:30</t>
  </si>
  <si>
    <t>D0 → C54 → S16 → D0</t>
  </si>
  <si>
    <t>period_20_00</t>
  </si>
  <si>
    <t>F</t>
  </si>
  <si>
    <t>south customer with recharge before return</t>
  </si>
  <si>
    <t>R_C101_07</t>
  </si>
  <si>
    <t>EV_C101_07</t>
  </si>
  <si>
    <t>00:22+1d</t>
  </si>
  <si>
    <t>D0 → C13 → D0</t>
  </si>
  <si>
    <t>period_0_00</t>
  </si>
  <si>
    <t>late west/north customer</t>
  </si>
  <si>
    <t>R_R102_01</t>
  </si>
  <si>
    <t>EV_R102_01</t>
  </si>
  <si>
    <t>07:25</t>
  </si>
  <si>
    <t>D0 → C31 → C88 → D0</t>
  </si>
  <si>
    <t>period_7_00</t>
  </si>
  <si>
    <t>A</t>
  </si>
  <si>
    <t>north-west paired route</t>
  </si>
  <si>
    <t>R_R102_02</t>
  </si>
  <si>
    <t>EV_R102_02</t>
  </si>
  <si>
    <t>08:17</t>
  </si>
  <si>
    <t>D0 → C20 → S5 → C12 → D0</t>
  </si>
  <si>
    <t>period_8_00</t>
  </si>
  <si>
    <t>north customer then central customer with recharge</t>
  </si>
  <si>
    <t>R_R102_03</t>
  </si>
  <si>
    <t>EV_R102_03</t>
  </si>
  <si>
    <t>08:37</t>
  </si>
  <si>
    <t>D0 → S17 → C23 → C67 → S18 → D0</t>
  </si>
  <si>
    <t>period_8_30</t>
  </si>
  <si>
    <t>south-east pair with depot-to-station recharge</t>
  </si>
  <si>
    <t>R_R102_04</t>
  </si>
  <si>
    <t>EV_R102_04</t>
  </si>
  <si>
    <t>09:18</t>
  </si>
  <si>
    <t>D0 → C99 → C60 → D0</t>
  </si>
  <si>
    <t>period_9_00</t>
  </si>
  <si>
    <t>west/south-west paired route</t>
  </si>
  <si>
    <t>R_R102_05</t>
  </si>
  <si>
    <t>EV_R102_05</t>
  </si>
  <si>
    <t>07:18</t>
  </si>
  <si>
    <t>D0 → C21 → S17 → C77 → D0</t>
  </si>
  <si>
    <t>south-to-east route with recharge</t>
  </si>
  <si>
    <t>R_RC102_01</t>
  </si>
  <si>
    <t>EV_RC102_01</t>
  </si>
  <si>
    <t>07:27</t>
  </si>
  <si>
    <t>D0 → C57 → C49 → S15 → C92 → C54 → D0</t>
  </si>
  <si>
    <t>south/central route with recharge</t>
  </si>
  <si>
    <t>R_RC102_02</t>
  </si>
  <si>
    <t>EV_RC102_02</t>
  </si>
  <si>
    <t>07:36</t>
  </si>
  <si>
    <t>D0 → C44 → D0</t>
  </si>
  <si>
    <t>period_7_30</t>
  </si>
  <si>
    <t>north-east customer</t>
  </si>
  <si>
    <t>R_RC102_03</t>
  </si>
  <si>
    <t>EV_RC102_03</t>
  </si>
  <si>
    <t>07:53</t>
  </si>
  <si>
    <t>D0 → C45 → D0</t>
  </si>
  <si>
    <t>north-west customer</t>
  </si>
  <si>
    <t>R_RC102_04</t>
  </si>
  <si>
    <t>EV_RC102_04</t>
  </si>
  <si>
    <t>08:26</t>
  </si>
  <si>
    <t>D0 → C11 → C53 → D0</t>
  </si>
  <si>
    <t>west customers</t>
  </si>
  <si>
    <t>R_RC102_05</t>
  </si>
  <si>
    <t>EV_RC102_05</t>
  </si>
  <si>
    <t>09:01</t>
  </si>
  <si>
    <t>D0 → C26 → S19 → D0</t>
  </si>
  <si>
    <t>east customer with recharge</t>
  </si>
  <si>
    <t>R_RC102_06</t>
  </si>
  <si>
    <t>EV_RC102_06</t>
  </si>
  <si>
    <t>08:23</t>
  </si>
  <si>
    <t>D0 → C70 → D0</t>
  </si>
  <si>
    <t>north customer</t>
  </si>
  <si>
    <t>Step No.</t>
  </si>
  <si>
    <t>From node</t>
  </si>
  <si>
    <t>To node</t>
  </si>
  <si>
    <t>From type</t>
  </si>
  <si>
    <t>To type</t>
  </si>
  <si>
    <t>Segment distance (km, approx)</t>
  </si>
  <si>
    <t>Energy used (kWh, VinFast VF8 est.)</t>
  </si>
  <si>
    <t>Battery before segment (kWh, approx)</t>
  </si>
  <si>
    <t>Battery after segment (kWh, approx)</t>
  </si>
  <si>
    <t>In-route charged at From node (kWh, est.)</t>
  </si>
  <si>
    <t>In-route charging time at From node (min, est.)</t>
  </si>
  <si>
    <t>Arrival time (min, approx)</t>
  </si>
  <si>
    <t>Wait time (min, approx)</t>
  </si>
  <si>
    <t>Service start (min, approx)</t>
  </si>
  <si>
    <t>Service end (min, approx)</t>
  </si>
  <si>
    <t>D0</t>
  </si>
  <si>
    <t>C96</t>
  </si>
  <si>
    <t>d</t>
  </si>
  <si>
    <t>c</t>
  </si>
  <si>
    <t>C95</t>
  </si>
  <si>
    <t>S3</t>
  </si>
  <si>
    <t>f</t>
  </si>
  <si>
    <t/>
  </si>
  <si>
    <t>C98</t>
  </si>
  <si>
    <t>C27</t>
  </si>
  <si>
    <t>C4</t>
  </si>
  <si>
    <t>C78</t>
  </si>
  <si>
    <t>S20</t>
  </si>
  <si>
    <t>C100</t>
  </si>
  <si>
    <t>C89</t>
  </si>
  <si>
    <t>C54</t>
  </si>
  <si>
    <t>S16</t>
  </si>
  <si>
    <t>C13</t>
  </si>
  <si>
    <t>C31</t>
  </si>
  <si>
    <t>C88</t>
  </si>
  <si>
    <t>C20</t>
  </si>
  <si>
    <t>S5</t>
  </si>
  <si>
    <t>C12</t>
  </si>
  <si>
    <t>S17</t>
  </si>
  <si>
    <t>C23</t>
  </si>
  <si>
    <t>C67</t>
  </si>
  <si>
    <t>S18</t>
  </si>
  <si>
    <t>C99</t>
  </si>
  <si>
    <t>C60</t>
  </si>
  <si>
    <t>C21</t>
  </si>
  <si>
    <t>C77</t>
  </si>
  <si>
    <t>C57</t>
  </si>
  <si>
    <t>C49</t>
  </si>
  <si>
    <t>S15</t>
  </si>
  <si>
    <t>C92</t>
  </si>
  <si>
    <t>C44</t>
  </si>
  <si>
    <t>C45</t>
  </si>
  <si>
    <t>C11</t>
  </si>
  <si>
    <t>C53</t>
  </si>
  <si>
    <t>C26</t>
  </si>
  <si>
    <t>S19</t>
  </si>
  <si>
    <t>C70</t>
  </si>
  <si>
    <t>StringID / Node ID</t>
  </si>
  <si>
    <t>Type (d/f/c)</t>
  </si>
  <si>
    <t>x coordinate (km-scale approx)</t>
  </si>
  <si>
    <t>y coordinate (km-scale approx)</t>
  </si>
  <si>
    <t>Demand (load unit)</t>
  </si>
  <si>
    <t>ReadyTime (min, approx)</t>
  </si>
  <si>
    <t>DueDate (min, approx)</t>
  </si>
  <si>
    <t>ServiceTime (min, approx)</t>
  </si>
  <si>
    <t>Q battery capacity (kWh, approx)</t>
  </si>
  <si>
    <t>C vehicle load capacity (load unit)</t>
  </si>
  <si>
    <t>r consumption rate (kWh/km, approx)</t>
  </si>
  <si>
    <t>g inverse refueling rate (min/kWh, approx)</t>
  </si>
  <si>
    <t>v average velocity (km/min, approx)</t>
  </si>
  <si>
    <t>S0</t>
  </si>
  <si>
    <t>S1</t>
  </si>
  <si>
    <t>Time range</t>
  </si>
  <si>
    <t>Record count</t>
  </si>
  <si>
    <t>Total segment length (source unit)</t>
  </si>
  <si>
    <t>Length-weighted LOS score</t>
  </si>
  <si>
    <t>Representative LOS</t>
  </si>
  <si>
    <t>LOS A count</t>
  </si>
  <si>
    <t>LOS B count</t>
  </si>
  <si>
    <t>LOS C count</t>
  </si>
  <si>
    <t>LOS D count</t>
  </si>
  <si>
    <t>LOS E count</t>
  </si>
  <si>
    <t>LOS F count</t>
  </si>
  <si>
    <t>Source note</t>
  </si>
  <si>
    <t>00:00-00:30</t>
  </si>
  <si>
    <t>Length-weighted by segment length in train.csv</t>
  </si>
  <si>
    <t>period_0_30</t>
  </si>
  <si>
    <t>00:30-01:00</t>
  </si>
  <si>
    <t>period_1_00</t>
  </si>
  <si>
    <t>01:00-01:30</t>
  </si>
  <si>
    <t>period_1_30</t>
  </si>
  <si>
    <t>01:30-02:00</t>
  </si>
  <si>
    <t>period_2_00</t>
  </si>
  <si>
    <t>02:00-02:30</t>
  </si>
  <si>
    <t>period_2_30</t>
  </si>
  <si>
    <t>02:30-03:00</t>
  </si>
  <si>
    <t>period_3_00</t>
  </si>
  <si>
    <t>03:00-03:30</t>
  </si>
  <si>
    <t>period_3_30</t>
  </si>
  <si>
    <t>03:30-04:00</t>
  </si>
  <si>
    <t>period_4_00</t>
  </si>
  <si>
    <t>04:00-04:30</t>
  </si>
  <si>
    <t>period_4_30</t>
  </si>
  <si>
    <t>04:30-05:00</t>
  </si>
  <si>
    <t>period_5_00</t>
  </si>
  <si>
    <t>05:00-05:30</t>
  </si>
  <si>
    <t>period_5_30</t>
  </si>
  <si>
    <t>05:30-06:00</t>
  </si>
  <si>
    <t>period_6_00</t>
  </si>
  <si>
    <t>06:00-06:30</t>
  </si>
  <si>
    <t>period_6_30</t>
  </si>
  <si>
    <t>06:30-07:00</t>
  </si>
  <si>
    <t>07:00-07:30</t>
  </si>
  <si>
    <t>07:30-08:00</t>
  </si>
  <si>
    <t>08:00-08:30</t>
  </si>
  <si>
    <t>08:30-09:00</t>
  </si>
  <si>
    <t>09:00-09:30</t>
  </si>
  <si>
    <t>09:30-10:00</t>
  </si>
  <si>
    <t>10:00-10:30</t>
  </si>
  <si>
    <t>period_10_30</t>
  </si>
  <si>
    <t>10:30-11:00</t>
  </si>
  <si>
    <t>11:00-11:30</t>
  </si>
  <si>
    <t>period_11_30</t>
  </si>
  <si>
    <t>11:30-12:00</t>
  </si>
  <si>
    <t>period_12_00</t>
  </si>
  <si>
    <t>12:00-12:30</t>
  </si>
  <si>
    <t>period_12_30</t>
  </si>
  <si>
    <t>12:30-13:00</t>
  </si>
  <si>
    <t>period_13_00</t>
  </si>
  <si>
    <t>13:00-13:30</t>
  </si>
  <si>
    <t>period_13_30</t>
  </si>
  <si>
    <t>13:30-14:00</t>
  </si>
  <si>
    <t>period_14_00</t>
  </si>
  <si>
    <t>14:00-14:30</t>
  </si>
  <si>
    <t>period_14_30</t>
  </si>
  <si>
    <t>14:30-15:00</t>
  </si>
  <si>
    <t>period_15_00</t>
  </si>
  <si>
    <t>15:00-15:30</t>
  </si>
  <si>
    <t>period_15_30</t>
  </si>
  <si>
    <t>15:30-16:00</t>
  </si>
  <si>
    <t>period_16_00</t>
  </si>
  <si>
    <t>16:00-16:30</t>
  </si>
  <si>
    <t>period_16_30</t>
  </si>
  <si>
    <t>16:30-17:00</t>
  </si>
  <si>
    <t>period_17_00</t>
  </si>
  <si>
    <t>17:00-17:30</t>
  </si>
  <si>
    <t>period_17_30</t>
  </si>
  <si>
    <t>17:30-18:00</t>
  </si>
  <si>
    <t>18:00-18:30</t>
  </si>
  <si>
    <t>period_18_30</t>
  </si>
  <si>
    <t>18:30-19:00</t>
  </si>
  <si>
    <t>19:00-19:30</t>
  </si>
  <si>
    <t>period_19_30</t>
  </si>
  <si>
    <t>19:30-20:00</t>
  </si>
  <si>
    <t>20:00-20:30</t>
  </si>
  <si>
    <t>period_20_30</t>
  </si>
  <si>
    <t>20:30-21:00</t>
  </si>
  <si>
    <t>No data</t>
  </si>
  <si>
    <t>No traffic records for this period</t>
  </si>
  <si>
    <t>period_21_00</t>
  </si>
  <si>
    <t>21:00-21:30</t>
  </si>
  <si>
    <t>period_21_30</t>
  </si>
  <si>
    <t>21:30-22:00</t>
  </si>
  <si>
    <t>period_22_00</t>
  </si>
  <si>
    <t>22:00-22:30</t>
  </si>
  <si>
    <t>period_22_30</t>
  </si>
  <si>
    <t>22:30-23:00</t>
  </si>
  <si>
    <t>period_23_00</t>
  </si>
  <si>
    <t>23:00-23:30</t>
  </si>
  <si>
    <t>period_23_30</t>
  </si>
  <si>
    <t>23:30-00:00</t>
  </si>
  <si>
    <t>Original / source value</t>
  </si>
  <si>
    <t>Converted / used value</t>
  </si>
  <si>
    <t>Conversion factor</t>
  </si>
  <si>
    <t>Where used</t>
  </si>
  <si>
    <t>Reason / note</t>
  </si>
  <si>
    <t>Euclidean distance unit</t>
  </si>
  <si>
    <t>km</t>
  </si>
  <si>
    <t>1 benchmark unit ≈ 1 km</t>
  </si>
  <si>
    <t>Total route distance, segment distance, CO₂ reduction</t>
  </si>
  <si>
    <t>Approximation only; original EVRPTW coordinates are not GPS measurements.</t>
  </si>
  <si>
    <t>VinFast VF 3 source rate</t>
  </si>
  <si>
    <t>0.0833 kWh/km</t>
  </si>
  <si>
    <t>83.3 kWh / 1,000 km</t>
  </si>
  <si>
    <t>Reference only</t>
  </si>
  <si>
    <t>Small car consumption from the VinFast source.</t>
  </si>
  <si>
    <t>VinFast VF 5 source rate</t>
  </si>
  <si>
    <t>0.1400 kWh/km</t>
  </si>
  <si>
    <t>140 kWh / 1,000 km</t>
  </si>
  <si>
    <t>Mid-size car consumption from the VinFast source.</t>
  </si>
  <si>
    <t>VinFast VF 8 selected rate</t>
  </si>
  <si>
    <t>0.2000 kWh/km</t>
  </si>
  <si>
    <t>200 kWh / 1,000 km</t>
  </si>
  <si>
    <t>Final_Dataset energy consumption</t>
  </si>
  <si>
    <t>Selected as the proxy for the EV delivery vehicle because benchmark battery capacities are around 60–78 kWh.</t>
  </si>
  <si>
    <t>Public charging price</t>
  </si>
  <si>
    <t>3,858 VND/kWh</t>
  </si>
  <si>
    <t>as reported by VinFast source</t>
  </si>
  <si>
    <t>Cost = recharge energy × 3,858.</t>
  </si>
  <si>
    <t>Benchmark time unit</t>
  </si>
  <si>
    <t>minute</t>
  </si>
  <si>
    <t>1 unit ≈ 1 min</t>
  </si>
  <si>
    <t>ReadyTime, DueDate, ServiceTime, arrival/wait/service times</t>
  </si>
  <si>
    <t>Solomon/EVRPTW-style time units are interpreted as minutes for reporting.</t>
  </si>
  <si>
    <t>g inverse refueling rate</t>
  </si>
  <si>
    <t>min/kWh</t>
  </si>
  <si>
    <t>same numeric value from each instance</t>
  </si>
  <si>
    <t>Recharge time estimate</t>
  </si>
  <si>
    <t>Recharge time = recharge energy × g.</t>
  </si>
  <si>
    <t>Q battery capacity</t>
  </si>
  <si>
    <t>kWh</t>
  </si>
  <si>
    <t>SOC calculation</t>
  </si>
  <si>
    <t>Q values such as 60.63 and 77.75 are interpreted as approximate kWh.</t>
  </si>
  <si>
    <t>r benchmark consumption parameter</t>
  </si>
  <si>
    <t>not used as real kWh/km</t>
  </si>
  <si>
    <t>Original r = 1.0 remains a benchmark parameter</t>
  </si>
  <si>
    <t>Raw_Nodes only</t>
  </si>
  <si>
    <t>Physical energy is recalculated using VinFast 0.20 kWh/km instead of r=1.0.</t>
  </si>
  <si>
    <t>LOS A-F</t>
  </si>
  <si>
    <t>Light/Medium/Heavy</t>
  </si>
  <si>
    <t>A/B=Light; C/D=Medium; E/F=Heavy</t>
  </si>
  <si>
    <t>Simplified traffic category from Kaggle train.csv.</t>
  </si>
  <si>
    <t>Vehicle model</t>
  </si>
  <si>
    <t>Source energy for 1,000 km (kWh)</t>
  </si>
  <si>
    <t>Consumption rate (kWh/km)</t>
  </si>
  <si>
    <t>Public charging price (VND/kWh)</t>
  </si>
  <si>
    <t>Estimated charging cost for 1,000 km (VND)</t>
  </si>
  <si>
    <t>VinFast VF 3</t>
  </si>
  <si>
    <t>https://xedienvinfastdanang.com/di-xe-dien-vinfast-1-000km-ton-bao-nhieu-tien-dien-so-voi-xe-xang/</t>
  </si>
  <si>
    <t>VinFast VF 5</t>
  </si>
  <si>
    <t>VinFast VF 8</t>
  </si>
  <si>
    <t>Selected for this dataset</t>
  </si>
  <si>
    <t>Used for all route-level energy and charging cost recalculations</t>
  </si>
  <si>
    <t>Because Q≈60–78 kWh matches car/van-scale batteries better than small EVs</t>
  </si>
  <si>
    <t>Item</t>
  </si>
  <si>
    <t>Value</t>
  </si>
  <si>
    <t>Unit / Explanation</t>
  </si>
  <si>
    <t>Source / Note</t>
  </si>
  <si>
    <t>VinFast public charging price</t>
  </si>
  <si>
    <t>VND/kWh; public V-Green/VinFast charging station price; VAT included</t>
  </si>
  <si>
    <t>ICE tailpipe emission factor</t>
  </si>
  <si>
    <t>kg CO₂/km; converted from EPA 400 g CO₂/mile</t>
  </si>
  <si>
    <t>https://www.epa.gov/greenvehicles/greenhouse-gas-emissions-typical-passenger-vehicle</t>
  </si>
  <si>
    <t>Selected VinFast energy consumption rate</t>
  </si>
  <si>
    <t>kWh/km; based on VinFast VF 8 = 20 kWh/100 km = 200 kWh/1,000 km</t>
  </si>
  <si>
    <t>Selected vehicle profile</t>
  </si>
  <si>
    <t>VinFast VF 8 / electric delivery van proxy</t>
  </si>
  <si>
    <t>Chosen because the benchmark battery capacities Q≈60–78 kWh are closer to car/van batteries than to small e-motorbike batteries</t>
  </si>
  <si>
    <t>Use this profile for Final_Dataset calculations</t>
  </si>
  <si>
    <t>Node x-y coordinate source</t>
  </si>
  <si>
    <t>c101C10.txt; r102C10.txt; rc102C10.txt</t>
  </si>
  <si>
    <t>x and y are original EVRPTW benchmark coordinates used as approximate locations for depot, customers, and charging stations.</t>
  </si>
  <si>
    <t>Extracted into Raw_Nodes from the uploaded EVRPTW instance files; these are benchmark coordinates, not GPS latitude/longitude.</t>
  </si>
  <si>
    <t>Distance conversion</t>
  </si>
  <si>
    <t>Approximate :1 EVRPTW Euclidean distance unit ≈ 1 km</t>
  </si>
  <si>
    <t>Distances are calculated from x-y coordinates using Euclidean distance, then reported as approximate km.</t>
  </si>
  <si>
    <t>c101C10.txt, r102C10.txt, and rc102C10.txt from the whole dataset from  https://data.mendeley.com/datasets/h3mrm5dhxw/1</t>
  </si>
  <si>
    <t>Energy calculation</t>
  </si>
  <si>
    <t>Energy kWh = route distance km × 0.20</t>
  </si>
  <si>
    <t>Do NOT use 1 km = 1 kWh. Original EVRPTW r=1.0 is treated as a benchmark parameter, not a real-world kWh/km value.</t>
  </si>
  <si>
    <t>Recalculated from VinFast source consumption rate</t>
  </si>
  <si>
    <t>Time conversion</t>
  </si>
  <si>
    <t>1 benchmark time unit ≈ 1 minute</t>
  </si>
  <si>
    <t>ReadyTime, DueDate, ServiceTime, charging time, arrival time, wait time, service start/end are reported as approximate minutes.</t>
  </si>
  <si>
    <t>Common interpretation of Solomon/EVRPTW benchmark time units; suitable for approximation</t>
  </si>
  <si>
    <t>Recharge energy definition</t>
  </si>
  <si>
    <t>Recharge energy after route = energy consumed by route</t>
  </si>
  <si>
    <t>Charging cost estimates how much it costs to replenish the route's consumed energy after completing the route.</t>
  </si>
  <si>
    <t>This is not necessarily in-route charging at a station</t>
  </si>
  <si>
    <t>Charging rate conversion</t>
  </si>
  <si>
    <t>g = min/kWh</t>
  </si>
  <si>
    <t>Estimated recharge time = recharge energy × instance g.</t>
  </si>
  <si>
    <t>Route-specific g is taken from each instance file</t>
  </si>
  <si>
    <t>Battery / SOC</t>
  </si>
  <si>
    <t>Q and %</t>
  </si>
  <si>
    <t>Q = battery capacity in kWh after conversion; SOC = battery after route / Q × 100.</t>
  </si>
  <si>
    <t>Q is taken from each instance file</t>
  </si>
  <si>
    <t>Traffic data</t>
  </si>
  <si>
    <t>Kaggle HCM train.csv LOS by 30-minute period</t>
  </si>
  <si>
    <t>Traffic period is matched from route start time. LOS is aggregated by period using segment length; A/B=Light, C/D=Medium, E/F=Heavy. If a period has no records, nearest available period is used.</t>
  </si>
  <si>
    <t>Uploaded train.csv; source tables provided: segment_status.csv, segments.csv, nodes.csv, streets.csv</t>
  </si>
  <si>
    <t>CO₂ reduction</t>
  </si>
  <si>
    <t>Tailpipe avoided</t>
  </si>
  <si>
    <t>CO₂ reduction = total route distance in km × 0.248548.</t>
  </si>
  <si>
    <t>Use as estimated CO₂ reduction, not measured emissions</t>
  </si>
  <si>
    <t>Route construction</t>
  </si>
  <si>
    <t>Heuristic</t>
  </si>
  <si>
    <t>Routes were manually/heuristically constructed from the uploaded instances to generate a complete route-level dataset.</t>
  </si>
  <si>
    <t>Not solver-optimal routes</t>
  </si>
  <si>
    <t>Conversion limitation</t>
  </si>
  <si>
    <t>Approximate, not measured</t>
  </si>
  <si>
    <t>The conversion makes the dataset easier to interpret; it does not turn benchmark coordinates into field GPS measurements.</t>
  </si>
  <si>
    <t>Use wording “approximate” in report tables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</si>
</sst>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00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0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NumberFormat="1" applyFont="1" applyFill="1" applyBorder="1" applyAlignment="1">
      <alignment horizontal="center" vertical="top" wrapText="1"/>
    </xf>
    <xf numFmtId="2" fontId="1" fillId="2" borderId="0" xfId="0" applyNumberFormat="1" applyFont="1" applyFill="1" applyBorder="1" applyAlignment="1">
      <alignment horizontal="center" vertical="top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4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4" fontId="0" fillId="0" borderId="0" xfId="0" applyNumberFormat="1" applyFont="1" applyFill="1" applyBorder="1" applyAlignment="1">
      <alignment wrapText="1"/>
    </xf>
    <xf numFmtId="180" fontId="0" fillId="0" borderId="0" xfId="0" applyNumberFormat="1" applyFont="1" applyFill="1" applyBorder="1" applyAlignment="1">
      <alignment wrapText="1"/>
    </xf>
    <xf numFmtId="2" fontId="1" fillId="2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 applyAlignment="1">
      <alignment wrapText="1"/>
    </xf>
    <xf numFmtId="10" fontId="1" fillId="2" borderId="0" xfId="0" applyNumberFormat="1" applyFont="1" applyFill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horizontal="center" vertical="center" wrapText="1"/>
    </xf>
    <xf numFmtId="1" fontId="1" fillId="2" borderId="0" xfId="0" applyNumberFormat="1" applyFont="1" applyFill="1" applyBorder="1" applyAlignment="1">
      <alignment horizontal="center" vertical="center" wrapText="1"/>
    </xf>
    <xf numFmtId="3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bgColor rgb="FFFECACA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"Distance"</c:f>
              <c:strCache>
                <c:ptCount val="1"/>
                <c:pt idx="0">
                  <c:v>Distance</c:v>
                </c:pt>
              </c:strCache>
            </c:strRef>
          </c:tx>
          <c:invertIfNegative val="0"/>
          <c:dLbls>
            <c:delete val="1"/>
          </c:dLbls>
          <c:cat>
            <c:strRef>
              <c:f>Summary!$A$2:$A$4</c:f>
              <c:strCache>
                <c:ptCount val="3"/>
                <c:pt idx="0">
                  <c:v>c101C10</c:v>
                </c:pt>
                <c:pt idx="1">
                  <c:v>r102C10</c:v>
                </c:pt>
                <c:pt idx="2">
                  <c:v>rc102C10</c:v>
                </c:pt>
              </c:strCache>
            </c:strRef>
          </c:cat>
          <c:val>
            <c:numRef>
              <c:f>Summary!$D$2:$D$4</c:f>
              <c:numCache>
                <c:formatCode>0.00</c:formatCode>
                <c:ptCount val="3"/>
                <c:pt idx="0">
                  <c:v>556.05</c:v>
                </c:pt>
                <c:pt idx="1">
                  <c:v>365.59</c:v>
                </c:pt>
                <c:pt idx="2">
                  <c:v>489.27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1d1bae-bfaa-40fb-a5a2-2765365e4cb7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21194395" y="431800"/>
        <a:ext cx="6147435" cy="3680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ummaryTable" displayName="SummaryTable" ref="A1:H5">
  <tableColumns count="8">
    <tableColumn id="1" name="Instance ID"/>
    <tableColumn id="2" name="Routes"/>
    <tableColumn id="3" name="Deliveries"/>
    <tableColumn id="4" name="Total distance"/>
    <tableColumn id="5" name="Total energy"/>
    <tableColumn id="6" name="Total charged"/>
    <tableColumn id="7" name="Charging cost"/>
    <tableColumn id="8" name="CO₂ redu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alDatasetTable" displayName="FinalDatasetTable" ref="A1:R19">
  <tableColumns count="18">
    <tableColumn id="1" name="Instance ID"/>
    <tableColumn id="2" name="Route ID"/>
    <tableColumn id="3" name="Vehicle ID"/>
    <tableColumn id="4" name="Time"/>
    <tableColumn id="5" name="Time unit"/>
    <tableColumn id="6" name="Route sequence"/>
    <tableColumn id="7" name="Route distance"/>
    <tableColumn id="8" name="Energy consumption"/>
    <tableColumn id="9" name="SOC (%)"/>
    <tableColumn id="10" name="Charging energy"/>
    <tableColumn id="11" name="Charging time"/>
    <tableColumn id="12" name="Charging cost (VND)"/>
    <tableColumn id="13" name="Traffic"/>
    <tableColumn id="14" name="Delivery count"/>
    <tableColumn id="15" name="CO₂ reduction (kg)"/>
    <tableColumn id="16" name="Total demand"/>
    <tableColumn id="17" name="Time window status"/>
    <tableColumn id="1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uteStepsTable" displayName="RouteStepsTable" ref="A1:R59">
  <tableColumns count="18">
    <tableColumn id="1" name="Instance ID"/>
    <tableColumn id="2" name="Route ID"/>
    <tableColumn id="3" name="Vehicle ID"/>
    <tableColumn id="4" name="Step"/>
    <tableColumn id="5" name="From"/>
    <tableColumn id="6" name="To"/>
    <tableColumn id="7" name="From Type"/>
    <tableColumn id="8" name="To Type"/>
    <tableColumn id="9" name="Segment distance"/>
    <tableColumn id="10" name="Energy used"/>
    <tableColumn id="11" name="Battery before"/>
    <tableColumn id="12" name="Battery after"/>
    <tableColumn id="13" name="Charged at From"/>
    <tableColumn id="14" name="Charging time at From"/>
    <tableColumn id="15" name="Arrival time"/>
    <tableColumn id="16" name="Wait time"/>
    <tableColumn id="17" name="Service start"/>
    <tableColumn id="18" name="Service e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awNodesTable" displayName="RawNodesTable" ref="A1:N47">
  <tableColumns count="14">
    <tableColumn id="1" name="Instance ID"/>
    <tableColumn id="2" name="StringID"/>
    <tableColumn id="3" name="Type"/>
    <tableColumn id="4" name="x"/>
    <tableColumn id="5" name="y"/>
    <tableColumn id="6" name="demand"/>
    <tableColumn id="7" name="ReadyTime"/>
    <tableColumn id="8" name="DueDate"/>
    <tableColumn id="9" name="ServiceTime"/>
    <tableColumn id="10" name="Q"/>
    <tableColumn id="11" name="C"/>
    <tableColumn id="12" name="r"/>
    <tableColumn id="13" name="g"/>
    <tableColumn id="14" name="v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ssumptionsTable" displayName="AssumptionsTable" ref="A1:D9">
  <tableColumns count="4">
    <tableColumn id="1" name="Item"/>
    <tableColumn id="2" name="Value"/>
    <tableColumn id="3" name="Unit/Explanation"/>
    <tableColumn id="4" name="Source/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workbookViewId="0">
      <selection activeCell="A1" sqref="A1"/>
    </sheetView>
  </sheetViews>
  <sheetFormatPr defaultColWidth="9" defaultRowHeight="13.8"/>
  <cols>
    <col min="1" max="1" width="13.3166666666667" customWidth="1"/>
    <col min="2" max="2" width="81.5583333333333" customWidth="1"/>
    <col min="3" max="3" width="16.6916666666667" customWidth="1"/>
    <col min="4" max="4" width="24.7583333333333" customWidth="1"/>
    <col min="5" max="5" width="43.2" customWidth="1"/>
    <col min="6" max="6" width="38.7583333333333" customWidth="1"/>
    <col min="7" max="7" width="34.8583333333333" customWidth="1"/>
    <col min="8" max="8" width="21" customWidth="1"/>
    <col min="9" max="9" width="4" customWidth="1"/>
    <col min="10" max="10" width="9.15" customWidth="1"/>
    <col min="11" max="11" width="9.83333333333333" customWidth="1"/>
    <col min="12" max="12" width="16.6916666666667" customWidth="1"/>
  </cols>
  <sheetData>
    <row r="1" ht="34" customHeight="1" spans="1:26">
      <c r="A1" s="3" t="s">
        <v>0</v>
      </c>
      <c r="B1" s="3" t="s">
        <v>1</v>
      </c>
      <c r="C1" s="3" t="s">
        <v>2</v>
      </c>
      <c r="D1" s="10" t="s">
        <v>3</v>
      </c>
      <c r="E1" s="10" t="s">
        <v>4</v>
      </c>
      <c r="F1" s="10" t="s">
        <v>5</v>
      </c>
      <c r="G1" s="13" t="s">
        <v>6</v>
      </c>
      <c r="H1" s="10" t="s">
        <v>7</v>
      </c>
      <c r="I1" s="3"/>
      <c r="J1" s="3" t="s">
        <v>8</v>
      </c>
      <c r="K1" s="3" t="s">
        <v>9</v>
      </c>
      <c r="L1" s="3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6" spans="1:12">
      <c r="A2" s="6" t="s">
        <v>11</v>
      </c>
      <c r="B2" s="6">
        <f>COUNTIF(Final_Dataset!$A:$A,A2)</f>
        <v>7</v>
      </c>
      <c r="C2" s="6">
        <f>SUMIF(Final_Dataset!$A:$A,A2,Final_Dataset!$Q:$Q)</f>
        <v>10</v>
      </c>
      <c r="D2" s="11">
        <f>ROUND(SUMIF(Final_Dataset!$A:$A,A2,Final_Dataset!$G:$G),2)</f>
        <v>556.05</v>
      </c>
      <c r="E2" s="11">
        <f>ROUND(SUMIF(Final_Dataset!$A:$A,A2,Final_Dataset!$H:$H),2)</f>
        <v>111.21</v>
      </c>
      <c r="F2" s="11">
        <f>ROUND(SUMIF(Final_Dataset!$A:$A,A2,Final_Dataset!$J:$J),2)</f>
        <v>111.21</v>
      </c>
      <c r="G2" s="15">
        <f>ROUND(SUMIF(Final_Dataset!$A:$A,A2,Final_Dataset!$L:$L),0)</f>
        <v>429050</v>
      </c>
      <c r="H2" s="11">
        <f>ROUND(SUMIF(Final_Dataset!$A:$A,A2,Final_Dataset!$R:$R),2)</f>
        <v>138.19</v>
      </c>
      <c r="J2" s="6" t="s">
        <v>12</v>
      </c>
      <c r="K2" s="6">
        <v>12</v>
      </c>
      <c r="L2" s="6" t="s">
        <v>13</v>
      </c>
    </row>
    <row r="3" ht="27.6" spans="1:12">
      <c r="A3" s="6" t="s">
        <v>14</v>
      </c>
      <c r="B3" s="6">
        <f>COUNTIF(Final_Dataset!$A:$A,A3)</f>
        <v>5</v>
      </c>
      <c r="C3" s="6">
        <f>SUMIF(Final_Dataset!$A:$A,A3,Final_Dataset!$Q:$Q)</f>
        <v>10</v>
      </c>
      <c r="D3" s="11">
        <f>ROUND(SUMIF(Final_Dataset!$A:$A,A3,Final_Dataset!$G:$G),2)</f>
        <v>365.59</v>
      </c>
      <c r="E3" s="11">
        <f>ROUND(SUMIF(Final_Dataset!$A:$A,A3,Final_Dataset!$H:$H),2)</f>
        <v>73.11</v>
      </c>
      <c r="F3" s="11">
        <f>ROUND(SUMIF(Final_Dataset!$A:$A,A3,Final_Dataset!$J:$J),2)</f>
        <v>73.11</v>
      </c>
      <c r="G3" s="15">
        <f>ROUND(SUMIF(Final_Dataset!$A:$A,A3,Final_Dataset!$L:$L),0)</f>
        <v>282059</v>
      </c>
      <c r="H3" s="11">
        <f>ROUND(SUMIF(Final_Dataset!$A:$A,A3,Final_Dataset!$R:$R),2)</f>
        <v>90.86</v>
      </c>
      <c r="J3" s="6" t="s">
        <v>15</v>
      </c>
      <c r="K3" s="6">
        <v>5</v>
      </c>
      <c r="L3" s="6" t="s">
        <v>13</v>
      </c>
    </row>
    <row r="4" ht="27.6" spans="1:12">
      <c r="A4" s="6" t="s">
        <v>16</v>
      </c>
      <c r="B4" s="6">
        <f>COUNTIF(Final_Dataset!$A:$A,A4)</f>
        <v>6</v>
      </c>
      <c r="C4" s="6">
        <f>SUMIF(Final_Dataset!$A:$A,A4,Final_Dataset!$Q:$Q)</f>
        <v>10</v>
      </c>
      <c r="D4" s="11">
        <f>ROUND(SUMIF(Final_Dataset!$A:$A,A4,Final_Dataset!$G:$G),2)</f>
        <v>489.27</v>
      </c>
      <c r="E4" s="11">
        <f>ROUND(SUMIF(Final_Dataset!$A:$A,A4,Final_Dataset!$H:$H),2)</f>
        <v>97.86</v>
      </c>
      <c r="F4" s="11">
        <f>ROUND(SUMIF(Final_Dataset!$A:$A,A4,Final_Dataset!$J:$J),2)</f>
        <v>97.86</v>
      </c>
      <c r="G4" s="15">
        <f>ROUND(SUMIF(Final_Dataset!$A:$A,A4,Final_Dataset!$L:$L),0)</f>
        <v>377544</v>
      </c>
      <c r="H4" s="11">
        <f>ROUND(SUMIF(Final_Dataset!$A:$A,A4,Final_Dataset!$R:$R),2)</f>
        <v>121.62</v>
      </c>
      <c r="J4" s="6" t="s">
        <v>17</v>
      </c>
      <c r="K4" s="6">
        <v>1</v>
      </c>
      <c r="L4" s="6" t="s">
        <v>13</v>
      </c>
    </row>
    <row r="5" spans="1:12">
      <c r="A5" s="6" t="s">
        <v>18</v>
      </c>
      <c r="B5" s="6">
        <f t="shared" ref="B5:H5" si="0">SUM(B2:B4)</f>
        <v>18</v>
      </c>
      <c r="C5" s="6">
        <f t="shared" si="0"/>
        <v>30</v>
      </c>
      <c r="D5" s="11">
        <f t="shared" si="0"/>
        <v>1410.91</v>
      </c>
      <c r="E5" s="11">
        <f t="shared" si="0"/>
        <v>282.18</v>
      </c>
      <c r="F5" s="11">
        <f t="shared" si="0"/>
        <v>282.18</v>
      </c>
      <c r="G5" s="15">
        <f t="shared" si="0"/>
        <v>1088653</v>
      </c>
      <c r="H5" s="11">
        <f t="shared" si="0"/>
        <v>350.67</v>
      </c>
      <c r="J5" s="6"/>
      <c r="K5" s="6"/>
      <c r="L5" s="6"/>
    </row>
    <row r="7" ht="27.6" spans="1:2">
      <c r="A7" s="16" t="s">
        <v>19</v>
      </c>
      <c r="B7" s="16" t="s">
        <v>20</v>
      </c>
    </row>
    <row r="8" spans="1:2">
      <c r="A8" s="6" t="s">
        <v>21</v>
      </c>
      <c r="B8" s="6" t="s">
        <v>22</v>
      </c>
    </row>
    <row r="9" spans="1:2">
      <c r="A9" s="6" t="s">
        <v>23</v>
      </c>
      <c r="B9" s="6" t="s">
        <v>24</v>
      </c>
    </row>
    <row r="10" spans="1:2">
      <c r="A10" s="6" t="s">
        <v>25</v>
      </c>
      <c r="B10" s="6" t="s">
        <v>26</v>
      </c>
    </row>
    <row r="11" spans="1:2">
      <c r="A11" s="6" t="s">
        <v>27</v>
      </c>
      <c r="B11" s="6" t="s">
        <v>28</v>
      </c>
    </row>
    <row r="12" spans="1:2">
      <c r="A12" t="s">
        <v>29</v>
      </c>
      <c r="B12" t="s">
        <v>30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workbookViewId="0">
      <selection activeCell="U4" sqref="U4"/>
    </sheetView>
  </sheetViews>
  <sheetFormatPr defaultColWidth="9" defaultRowHeight="13.8"/>
  <cols>
    <col min="1" max="1" width="11.7083333333333" customWidth="1"/>
    <col min="2" max="2" width="15.1" customWidth="1"/>
    <col min="3" max="3" width="21" customWidth="1"/>
    <col min="4" max="4" width="18.9833333333333" customWidth="1"/>
    <col min="5" max="5" width="27.3166666666667" customWidth="1"/>
    <col min="6" max="6" width="38" customWidth="1"/>
    <col min="7" max="7" width="29.6083333333333" customWidth="1"/>
    <col min="8" max="8" width="31.4916666666667" customWidth="1"/>
    <col min="9" max="9" width="18.3" customWidth="1"/>
    <col min="10" max="10" width="27.9916666666667" customWidth="1"/>
    <col min="11" max="11" width="25.4416666666667" customWidth="1"/>
    <col min="12" max="12" width="18.9833333333333" customWidth="1"/>
    <col min="13" max="13" width="20.8583333333333" customWidth="1"/>
    <col min="14" max="14" width="15.4833333333333" customWidth="1"/>
    <col min="15" max="15" width="23.4166666666667" customWidth="1"/>
    <col min="16" max="16" width="45" customWidth="1"/>
    <col min="17" max="17" width="20.4583333333333" customWidth="1"/>
    <col min="18" max="18" width="21" customWidth="1"/>
    <col min="19" max="19" width="20.05" customWidth="1"/>
    <col min="20" max="20" width="16.4166666666667" customWidth="1"/>
    <col min="21" max="21" width="32" customWidth="1"/>
  </cols>
  <sheetData>
    <row r="1" ht="34" customHeight="1" spans="1:26">
      <c r="A1" s="3" t="s">
        <v>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10" t="s">
        <v>36</v>
      </c>
      <c r="H1" s="10" t="s">
        <v>37</v>
      </c>
      <c r="I1" s="12" t="s">
        <v>38</v>
      </c>
      <c r="J1" s="10" t="s">
        <v>39</v>
      </c>
      <c r="K1" s="10" t="s">
        <v>40</v>
      </c>
      <c r="L1" s="13" t="s">
        <v>41</v>
      </c>
      <c r="M1" s="3" t="s">
        <v>42</v>
      </c>
      <c r="N1" s="3" t="s">
        <v>43</v>
      </c>
      <c r="O1" s="10" t="s">
        <v>44</v>
      </c>
      <c r="P1" s="14" t="s">
        <v>45</v>
      </c>
      <c r="Q1" s="3" t="s">
        <v>46</v>
      </c>
      <c r="R1" s="3" t="s">
        <v>7</v>
      </c>
      <c r="S1" s="3" t="s">
        <v>47</v>
      </c>
      <c r="T1" s="3" t="s">
        <v>48</v>
      </c>
      <c r="U1" s="3" t="s">
        <v>49</v>
      </c>
      <c r="V1" s="3"/>
      <c r="W1" s="3"/>
      <c r="X1" s="3"/>
      <c r="Y1" s="3"/>
      <c r="Z1" s="3"/>
    </row>
    <row r="2" ht="27.6" spans="1:21">
      <c r="A2" s="6" t="s">
        <v>11</v>
      </c>
      <c r="B2" s="6" t="s">
        <v>50</v>
      </c>
      <c r="C2" s="6" t="s">
        <v>51</v>
      </c>
      <c r="D2" s="6" t="s">
        <v>52</v>
      </c>
      <c r="E2" s="6">
        <v>177</v>
      </c>
      <c r="F2" s="6" t="s">
        <v>53</v>
      </c>
      <c r="G2" s="11">
        <v>79.68</v>
      </c>
      <c r="H2" s="11">
        <f>ROUND(G2*Assumptions!$B$4,2)</f>
        <v>15.94</v>
      </c>
      <c r="I2" s="11">
        <f t="shared" ref="I2:I19" si="0">ROUND(MAX(0,((IF($A2="r102C10",60.63,77.75))-H2)/(IF($A2="r102C10",60.63,77.75))*100),2)</f>
        <v>79.5</v>
      </c>
      <c r="J2" s="11">
        <f t="shared" ref="J2:J19" si="1">H2</f>
        <v>15.94</v>
      </c>
      <c r="K2" s="11">
        <f t="shared" ref="K2:K19" si="2">ROUND(J2*(IF($A2="c101C10",3.47,IF($A2="r102C10",0.49,0.39))),2)</f>
        <v>55.31</v>
      </c>
      <c r="L2" s="15">
        <f>ROUND(J2*Assumptions!$B$2,0)</f>
        <v>61497</v>
      </c>
      <c r="M2" s="6" t="s">
        <v>54</v>
      </c>
      <c r="N2" s="6" t="s">
        <v>55</v>
      </c>
      <c r="O2" s="11" t="s">
        <v>15</v>
      </c>
      <c r="P2" s="7" t="s">
        <v>56</v>
      </c>
      <c r="Q2" s="6">
        <v>2</v>
      </c>
      <c r="R2" s="11">
        <f>ROUND(G2*Assumptions!$B$3,2)</f>
        <v>19.8</v>
      </c>
      <c r="S2" s="6">
        <v>40</v>
      </c>
      <c r="T2" s="6" t="s">
        <v>57</v>
      </c>
      <c r="U2" s="6" t="s">
        <v>58</v>
      </c>
    </row>
    <row r="3" ht="27.6" spans="1:21">
      <c r="A3" s="6" t="s">
        <v>11</v>
      </c>
      <c r="B3" s="6" t="s">
        <v>59</v>
      </c>
      <c r="C3" s="6" t="s">
        <v>60</v>
      </c>
      <c r="D3" s="6" t="s">
        <v>61</v>
      </c>
      <c r="E3" s="6">
        <v>181</v>
      </c>
      <c r="F3" s="6" t="s">
        <v>62</v>
      </c>
      <c r="G3" s="11">
        <v>61.61</v>
      </c>
      <c r="H3" s="11">
        <f>ROUND(G3*Assumptions!$B$4,2)</f>
        <v>12.32</v>
      </c>
      <c r="I3" s="11">
        <f t="shared" si="0"/>
        <v>84.15</v>
      </c>
      <c r="J3" s="11">
        <f t="shared" si="1"/>
        <v>12.32</v>
      </c>
      <c r="K3" s="11">
        <f t="shared" si="2"/>
        <v>42.75</v>
      </c>
      <c r="L3" s="15">
        <f>ROUND(J3*Assumptions!$B$2,0)</f>
        <v>47531</v>
      </c>
      <c r="M3" s="6" t="s">
        <v>63</v>
      </c>
      <c r="N3" s="6" t="s">
        <v>64</v>
      </c>
      <c r="O3" s="11" t="s">
        <v>12</v>
      </c>
      <c r="P3" s="7" t="s">
        <v>56</v>
      </c>
      <c r="Q3" s="6">
        <v>1</v>
      </c>
      <c r="R3" s="11">
        <f>ROUND(G3*Assumptions!$B$3,2)</f>
        <v>15.31</v>
      </c>
      <c r="S3" s="6">
        <v>20</v>
      </c>
      <c r="T3" s="6" t="s">
        <v>57</v>
      </c>
      <c r="U3" s="6" t="s">
        <v>65</v>
      </c>
    </row>
    <row r="4" ht="27.6" spans="1:21">
      <c r="A4" s="6" t="s">
        <v>11</v>
      </c>
      <c r="B4" s="6" t="s">
        <v>66</v>
      </c>
      <c r="C4" s="6" t="s">
        <v>67</v>
      </c>
      <c r="D4" s="6" t="s">
        <v>68</v>
      </c>
      <c r="E4" s="6">
        <v>263</v>
      </c>
      <c r="F4" s="6" t="s">
        <v>69</v>
      </c>
      <c r="G4" s="11">
        <v>60.07</v>
      </c>
      <c r="H4" s="11">
        <f>ROUND(G4*Assumptions!$B$4,2)</f>
        <v>12.01</v>
      </c>
      <c r="I4" s="11">
        <f t="shared" si="0"/>
        <v>84.55</v>
      </c>
      <c r="J4" s="11">
        <f t="shared" si="1"/>
        <v>12.01</v>
      </c>
      <c r="K4" s="11">
        <f t="shared" si="2"/>
        <v>41.67</v>
      </c>
      <c r="L4" s="15">
        <f>ROUND(J4*Assumptions!$B$2,0)</f>
        <v>46335</v>
      </c>
      <c r="M4" s="6" t="s">
        <v>70</v>
      </c>
      <c r="N4" s="6" t="s">
        <v>55</v>
      </c>
      <c r="O4" s="11" t="s">
        <v>15</v>
      </c>
      <c r="P4" s="7" t="s">
        <v>56</v>
      </c>
      <c r="Q4" s="6">
        <v>2</v>
      </c>
      <c r="R4" s="11">
        <f>ROUND(G4*Assumptions!$B$3,2)</f>
        <v>14.93</v>
      </c>
      <c r="S4" s="6">
        <v>20</v>
      </c>
      <c r="T4" s="6" t="s">
        <v>57</v>
      </c>
      <c r="U4" s="6" t="s">
        <v>71</v>
      </c>
    </row>
    <row r="5" ht="27.6" spans="1:21">
      <c r="A5" s="6" t="s">
        <v>11</v>
      </c>
      <c r="B5" s="6" t="s">
        <v>72</v>
      </c>
      <c r="C5" s="6" t="s">
        <v>73</v>
      </c>
      <c r="D5" s="6" t="s">
        <v>74</v>
      </c>
      <c r="E5" s="6">
        <v>667</v>
      </c>
      <c r="F5" s="6" t="s">
        <v>75</v>
      </c>
      <c r="G5" s="11">
        <v>113.18</v>
      </c>
      <c r="H5" s="11">
        <f>ROUND(G5*Assumptions!$B$4,2)</f>
        <v>22.64</v>
      </c>
      <c r="I5" s="11">
        <f t="shared" si="0"/>
        <v>70.88</v>
      </c>
      <c r="J5" s="11">
        <f t="shared" si="1"/>
        <v>22.64</v>
      </c>
      <c r="K5" s="11">
        <f t="shared" si="2"/>
        <v>78.56</v>
      </c>
      <c r="L5" s="15">
        <f>ROUND(J5*Assumptions!$B$2,0)</f>
        <v>87345</v>
      </c>
      <c r="M5" s="6" t="s">
        <v>76</v>
      </c>
      <c r="N5" s="6" t="s">
        <v>77</v>
      </c>
      <c r="O5" s="11" t="s">
        <v>15</v>
      </c>
      <c r="P5" s="7" t="s">
        <v>56</v>
      </c>
      <c r="Q5" s="6">
        <v>1</v>
      </c>
      <c r="R5" s="11">
        <f>ROUND(G5*Assumptions!$B$3,2)</f>
        <v>28.13</v>
      </c>
      <c r="S5" s="6">
        <v>20</v>
      </c>
      <c r="T5" s="6" t="s">
        <v>57</v>
      </c>
      <c r="U5" s="6" t="s">
        <v>78</v>
      </c>
    </row>
    <row r="6" ht="27.6" spans="1:21">
      <c r="A6" s="6" t="s">
        <v>11</v>
      </c>
      <c r="B6" s="6" t="s">
        <v>79</v>
      </c>
      <c r="C6" s="6" t="s">
        <v>80</v>
      </c>
      <c r="D6" s="6" t="s">
        <v>81</v>
      </c>
      <c r="E6" s="6">
        <v>744</v>
      </c>
      <c r="F6" s="6" t="s">
        <v>82</v>
      </c>
      <c r="G6" s="11">
        <v>90.77</v>
      </c>
      <c r="H6" s="11">
        <f>ROUND(G6*Assumptions!$B$4,2)</f>
        <v>18.15</v>
      </c>
      <c r="I6" s="11">
        <f t="shared" si="0"/>
        <v>76.66</v>
      </c>
      <c r="J6" s="11">
        <f t="shared" si="1"/>
        <v>18.15</v>
      </c>
      <c r="K6" s="11">
        <f t="shared" si="2"/>
        <v>62.98</v>
      </c>
      <c r="L6" s="15">
        <f>ROUND(J6*Assumptions!$B$2,0)</f>
        <v>70023</v>
      </c>
      <c r="M6" s="6" t="s">
        <v>83</v>
      </c>
      <c r="N6" s="6" t="s">
        <v>55</v>
      </c>
      <c r="O6" s="11" t="s">
        <v>15</v>
      </c>
      <c r="P6" s="7" t="s">
        <v>56</v>
      </c>
      <c r="Q6" s="6">
        <v>2</v>
      </c>
      <c r="R6" s="11">
        <f>ROUND(G6*Assumptions!$B$3,2)</f>
        <v>22.56</v>
      </c>
      <c r="S6" s="6">
        <v>30</v>
      </c>
      <c r="T6" s="6" t="s">
        <v>57</v>
      </c>
      <c r="U6" s="6" t="s">
        <v>84</v>
      </c>
    </row>
    <row r="7" ht="27.6" spans="1:21">
      <c r="A7" s="6" t="s">
        <v>11</v>
      </c>
      <c r="B7" s="6" t="s">
        <v>85</v>
      </c>
      <c r="C7" s="6" t="s">
        <v>86</v>
      </c>
      <c r="D7" s="6" t="s">
        <v>87</v>
      </c>
      <c r="E7" s="6">
        <v>810</v>
      </c>
      <c r="F7" s="6" t="s">
        <v>88</v>
      </c>
      <c r="G7" s="11">
        <v>89.13</v>
      </c>
      <c r="H7" s="11">
        <f>ROUND(G7*Assumptions!$B$4,2)</f>
        <v>17.83</v>
      </c>
      <c r="I7" s="11">
        <f t="shared" si="0"/>
        <v>77.07</v>
      </c>
      <c r="J7" s="11">
        <f t="shared" si="1"/>
        <v>17.83</v>
      </c>
      <c r="K7" s="11">
        <f t="shared" si="2"/>
        <v>61.87</v>
      </c>
      <c r="L7" s="15">
        <f>ROUND(J7*Assumptions!$B$2,0)</f>
        <v>68788</v>
      </c>
      <c r="M7" s="6" t="s">
        <v>89</v>
      </c>
      <c r="N7" s="6" t="s">
        <v>90</v>
      </c>
      <c r="O7" s="11" t="s">
        <v>17</v>
      </c>
      <c r="P7" s="7" t="s">
        <v>56</v>
      </c>
      <c r="Q7" s="6">
        <v>1</v>
      </c>
      <c r="R7" s="11">
        <f>ROUND(G7*Assumptions!$B$3,2)</f>
        <v>22.15</v>
      </c>
      <c r="S7" s="6">
        <v>40</v>
      </c>
      <c r="T7" s="6" t="s">
        <v>57</v>
      </c>
      <c r="U7" s="6" t="s">
        <v>91</v>
      </c>
    </row>
    <row r="8" ht="27.6" spans="1:21">
      <c r="A8" s="6" t="s">
        <v>11</v>
      </c>
      <c r="B8" s="6" t="s">
        <v>92</v>
      </c>
      <c r="C8" s="6" t="s">
        <v>93</v>
      </c>
      <c r="D8" s="6" t="s">
        <v>94</v>
      </c>
      <c r="E8" s="6">
        <v>1042</v>
      </c>
      <c r="F8" s="6" t="s">
        <v>95</v>
      </c>
      <c r="G8" s="11">
        <v>61.61</v>
      </c>
      <c r="H8" s="11">
        <f>ROUND(G8*Assumptions!$B$4,2)</f>
        <v>12.32</v>
      </c>
      <c r="I8" s="11">
        <f t="shared" si="0"/>
        <v>84.15</v>
      </c>
      <c r="J8" s="11">
        <f t="shared" si="1"/>
        <v>12.32</v>
      </c>
      <c r="K8" s="11">
        <f t="shared" si="2"/>
        <v>42.75</v>
      </c>
      <c r="L8" s="15">
        <f>ROUND(J8*Assumptions!$B$2,0)</f>
        <v>47531</v>
      </c>
      <c r="M8" s="6" t="s">
        <v>96</v>
      </c>
      <c r="N8" s="6" t="s">
        <v>77</v>
      </c>
      <c r="O8" s="11" t="s">
        <v>15</v>
      </c>
      <c r="P8" s="7" t="s">
        <v>56</v>
      </c>
      <c r="Q8" s="6">
        <v>1</v>
      </c>
      <c r="R8" s="11">
        <f>ROUND(G8*Assumptions!$B$3,2)</f>
        <v>15.31</v>
      </c>
      <c r="S8" s="6">
        <v>30</v>
      </c>
      <c r="T8" s="6" t="s">
        <v>57</v>
      </c>
      <c r="U8" s="6" t="s">
        <v>97</v>
      </c>
    </row>
    <row r="9" ht="27.6" spans="1:21">
      <c r="A9" s="6" t="s">
        <v>14</v>
      </c>
      <c r="B9" s="6" t="s">
        <v>98</v>
      </c>
      <c r="C9" s="6" t="s">
        <v>99</v>
      </c>
      <c r="D9" s="6" t="s">
        <v>100</v>
      </c>
      <c r="E9" s="6">
        <v>25</v>
      </c>
      <c r="F9" s="6" t="s">
        <v>101</v>
      </c>
      <c r="G9" s="11">
        <v>41.7</v>
      </c>
      <c r="H9" s="11">
        <f>ROUND(G9*Assumptions!$B$4,2)</f>
        <v>8.34</v>
      </c>
      <c r="I9" s="11">
        <f t="shared" si="0"/>
        <v>86.24</v>
      </c>
      <c r="J9" s="11">
        <f t="shared" si="1"/>
        <v>8.34</v>
      </c>
      <c r="K9" s="11">
        <f t="shared" si="2"/>
        <v>4.09</v>
      </c>
      <c r="L9" s="15">
        <f>ROUND(J9*Assumptions!$B$2,0)</f>
        <v>32176</v>
      </c>
      <c r="M9" s="6" t="s">
        <v>102</v>
      </c>
      <c r="N9" s="6" t="s">
        <v>103</v>
      </c>
      <c r="O9" s="11" t="s">
        <v>12</v>
      </c>
      <c r="P9" s="7" t="s">
        <v>56</v>
      </c>
      <c r="Q9" s="6">
        <v>2</v>
      </c>
      <c r="R9" s="11">
        <f>ROUND(G9*Assumptions!$B$3,2)</f>
        <v>10.36</v>
      </c>
      <c r="S9" s="6">
        <v>36</v>
      </c>
      <c r="T9" s="6" t="s">
        <v>57</v>
      </c>
      <c r="U9" s="6" t="s">
        <v>104</v>
      </c>
    </row>
    <row r="10" ht="27.6" spans="1:21">
      <c r="A10" s="6" t="s">
        <v>14</v>
      </c>
      <c r="B10" s="6" t="s">
        <v>105</v>
      </c>
      <c r="C10" s="6" t="s">
        <v>106</v>
      </c>
      <c r="D10" s="6" t="s">
        <v>107</v>
      </c>
      <c r="E10" s="6">
        <v>77</v>
      </c>
      <c r="F10" s="6" t="s">
        <v>108</v>
      </c>
      <c r="G10" s="11">
        <v>98.71</v>
      </c>
      <c r="H10" s="11">
        <f>ROUND(G10*Assumptions!$B$4,2)</f>
        <v>19.74</v>
      </c>
      <c r="I10" s="11">
        <f t="shared" si="0"/>
        <v>67.44</v>
      </c>
      <c r="J10" s="11">
        <f t="shared" si="1"/>
        <v>19.74</v>
      </c>
      <c r="K10" s="11">
        <f t="shared" si="2"/>
        <v>9.67</v>
      </c>
      <c r="L10" s="15">
        <f>ROUND(J10*Assumptions!$B$2,0)</f>
        <v>76157</v>
      </c>
      <c r="M10" s="6" t="s">
        <v>109</v>
      </c>
      <c r="N10" s="6" t="s">
        <v>64</v>
      </c>
      <c r="O10" s="11" t="s">
        <v>12</v>
      </c>
      <c r="P10" s="7" t="s">
        <v>56</v>
      </c>
      <c r="Q10" s="6">
        <v>2</v>
      </c>
      <c r="R10" s="11">
        <f>ROUND(G10*Assumptions!$B$3,2)</f>
        <v>24.53</v>
      </c>
      <c r="S10" s="6">
        <v>28</v>
      </c>
      <c r="T10" s="6" t="s">
        <v>57</v>
      </c>
      <c r="U10" s="6" t="s">
        <v>110</v>
      </c>
    </row>
    <row r="11" ht="27.6" spans="1:21">
      <c r="A11" s="6" t="s">
        <v>14</v>
      </c>
      <c r="B11" s="6" t="s">
        <v>111</v>
      </c>
      <c r="C11" s="6" t="s">
        <v>112</v>
      </c>
      <c r="D11" s="6" t="s">
        <v>113</v>
      </c>
      <c r="E11" s="6">
        <v>97</v>
      </c>
      <c r="F11" s="6" t="s">
        <v>114</v>
      </c>
      <c r="G11" s="11">
        <v>93.02</v>
      </c>
      <c r="H11" s="11">
        <f>ROUND(G11*Assumptions!$B$4,2)</f>
        <v>18.6</v>
      </c>
      <c r="I11" s="11">
        <f t="shared" si="0"/>
        <v>69.32</v>
      </c>
      <c r="J11" s="11">
        <f t="shared" si="1"/>
        <v>18.6</v>
      </c>
      <c r="K11" s="11">
        <f t="shared" si="2"/>
        <v>9.11</v>
      </c>
      <c r="L11" s="15">
        <f>ROUND(J11*Assumptions!$B$2,0)</f>
        <v>71759</v>
      </c>
      <c r="M11" s="6" t="s">
        <v>115</v>
      </c>
      <c r="N11" s="6" t="s">
        <v>64</v>
      </c>
      <c r="O11" s="11" t="s">
        <v>12</v>
      </c>
      <c r="P11" s="7" t="s">
        <v>56</v>
      </c>
      <c r="Q11" s="6">
        <v>2</v>
      </c>
      <c r="R11" s="11">
        <f>ROUND(G11*Assumptions!$B$3,2)</f>
        <v>23.12</v>
      </c>
      <c r="S11" s="6">
        <v>54</v>
      </c>
      <c r="T11" s="6" t="s">
        <v>57</v>
      </c>
      <c r="U11" s="6" t="s">
        <v>116</v>
      </c>
    </row>
    <row r="12" ht="27.6" spans="1:21">
      <c r="A12" s="6" t="s">
        <v>14</v>
      </c>
      <c r="B12" s="6" t="s">
        <v>117</v>
      </c>
      <c r="C12" s="6" t="s">
        <v>118</v>
      </c>
      <c r="D12" s="6" t="s">
        <v>119</v>
      </c>
      <c r="E12" s="6">
        <v>138</v>
      </c>
      <c r="F12" s="6" t="s">
        <v>120</v>
      </c>
      <c r="G12" s="11">
        <v>44.06</v>
      </c>
      <c r="H12" s="11">
        <f>ROUND(G12*Assumptions!$B$4,2)</f>
        <v>8.81</v>
      </c>
      <c r="I12" s="11">
        <f t="shared" si="0"/>
        <v>85.47</v>
      </c>
      <c r="J12" s="11">
        <f t="shared" si="1"/>
        <v>8.81</v>
      </c>
      <c r="K12" s="11">
        <f t="shared" si="2"/>
        <v>4.32</v>
      </c>
      <c r="L12" s="15">
        <f>ROUND(J12*Assumptions!$B$2,0)</f>
        <v>33989</v>
      </c>
      <c r="M12" s="6" t="s">
        <v>121</v>
      </c>
      <c r="N12" s="6" t="s">
        <v>64</v>
      </c>
      <c r="O12" s="11" t="s">
        <v>12</v>
      </c>
      <c r="P12" s="7" t="s">
        <v>56</v>
      </c>
      <c r="Q12" s="6">
        <v>2</v>
      </c>
      <c r="R12" s="11">
        <f>ROUND(G12*Assumptions!$B$3,2)</f>
        <v>10.95</v>
      </c>
      <c r="S12" s="6">
        <v>12</v>
      </c>
      <c r="T12" s="6" t="s">
        <v>57</v>
      </c>
      <c r="U12" s="6" t="s">
        <v>122</v>
      </c>
    </row>
    <row r="13" ht="27.6" spans="1:21">
      <c r="A13" s="6" t="s">
        <v>14</v>
      </c>
      <c r="B13" s="6" t="s">
        <v>123</v>
      </c>
      <c r="C13" s="6" t="s">
        <v>124</v>
      </c>
      <c r="D13" s="6" t="s">
        <v>125</v>
      </c>
      <c r="E13" s="6">
        <v>18.03</v>
      </c>
      <c r="F13" s="6" t="s">
        <v>126</v>
      </c>
      <c r="G13" s="11">
        <v>88.1</v>
      </c>
      <c r="H13" s="11">
        <f>ROUND(G13*Assumptions!$B$4,2)</f>
        <v>17.62</v>
      </c>
      <c r="I13" s="11">
        <f t="shared" si="0"/>
        <v>70.94</v>
      </c>
      <c r="J13" s="11">
        <f t="shared" si="1"/>
        <v>17.62</v>
      </c>
      <c r="K13" s="11">
        <f t="shared" si="2"/>
        <v>8.63</v>
      </c>
      <c r="L13" s="15">
        <f>ROUND(J13*Assumptions!$B$2,0)</f>
        <v>67978</v>
      </c>
      <c r="M13" s="6" t="s">
        <v>102</v>
      </c>
      <c r="N13" s="6" t="s">
        <v>103</v>
      </c>
      <c r="O13" s="11" t="s">
        <v>12</v>
      </c>
      <c r="P13" s="7" t="s">
        <v>56</v>
      </c>
      <c r="Q13" s="6">
        <v>2</v>
      </c>
      <c r="R13" s="11">
        <f>ROUND(G13*Assumptions!$B$3,2)</f>
        <v>21.9</v>
      </c>
      <c r="S13" s="6">
        <v>25</v>
      </c>
      <c r="T13" s="6" t="s">
        <v>57</v>
      </c>
      <c r="U13" s="6" t="s">
        <v>127</v>
      </c>
    </row>
    <row r="14" ht="27.6" spans="1:21">
      <c r="A14" s="6" t="s">
        <v>16</v>
      </c>
      <c r="B14" s="6" t="s">
        <v>128</v>
      </c>
      <c r="C14" s="6" t="s">
        <v>129</v>
      </c>
      <c r="D14" s="6" t="s">
        <v>130</v>
      </c>
      <c r="E14" s="6">
        <v>27</v>
      </c>
      <c r="F14" s="6" t="s">
        <v>131</v>
      </c>
      <c r="G14" s="11">
        <v>116.1</v>
      </c>
      <c r="H14" s="11">
        <f>ROUND(G14*Assumptions!$B$4,2)</f>
        <v>23.22</v>
      </c>
      <c r="I14" s="11">
        <f t="shared" si="0"/>
        <v>70.14</v>
      </c>
      <c r="J14" s="11">
        <f t="shared" si="1"/>
        <v>23.22</v>
      </c>
      <c r="K14" s="11">
        <f t="shared" si="2"/>
        <v>9.06</v>
      </c>
      <c r="L14" s="15">
        <f>ROUND(J14*Assumptions!$B$2,0)</f>
        <v>89583</v>
      </c>
      <c r="M14" s="6" t="s">
        <v>102</v>
      </c>
      <c r="N14" s="6" t="s">
        <v>103</v>
      </c>
      <c r="O14" s="11" t="s">
        <v>12</v>
      </c>
      <c r="P14" s="7" t="s">
        <v>56</v>
      </c>
      <c r="Q14" s="6">
        <v>4</v>
      </c>
      <c r="R14" s="11">
        <f>ROUND(G14*Assumptions!$B$3,2)</f>
        <v>28.86</v>
      </c>
      <c r="S14" s="6">
        <v>63</v>
      </c>
      <c r="T14" s="6" t="s">
        <v>57</v>
      </c>
      <c r="U14" s="6" t="s">
        <v>132</v>
      </c>
    </row>
    <row r="15" ht="27.6" spans="1:21">
      <c r="A15" s="6" t="s">
        <v>16</v>
      </c>
      <c r="B15" s="6" t="s">
        <v>133</v>
      </c>
      <c r="C15" s="6" t="s">
        <v>134</v>
      </c>
      <c r="D15" s="6" t="s">
        <v>135</v>
      </c>
      <c r="E15" s="6">
        <v>36</v>
      </c>
      <c r="F15" s="6" t="s">
        <v>136</v>
      </c>
      <c r="G15" s="11">
        <v>70.68</v>
      </c>
      <c r="H15" s="11">
        <f>ROUND(G15*Assumptions!$B$4,2)</f>
        <v>14.14</v>
      </c>
      <c r="I15" s="11">
        <f t="shared" si="0"/>
        <v>81.81</v>
      </c>
      <c r="J15" s="11">
        <f t="shared" si="1"/>
        <v>14.14</v>
      </c>
      <c r="K15" s="11">
        <f t="shared" si="2"/>
        <v>5.51</v>
      </c>
      <c r="L15" s="15">
        <f>ROUND(J15*Assumptions!$B$2,0)</f>
        <v>54552</v>
      </c>
      <c r="M15" s="6" t="s">
        <v>137</v>
      </c>
      <c r="N15" s="6" t="s">
        <v>64</v>
      </c>
      <c r="O15" s="11" t="s">
        <v>12</v>
      </c>
      <c r="P15" s="7" t="s">
        <v>56</v>
      </c>
      <c r="Q15" s="6">
        <v>1</v>
      </c>
      <c r="R15" s="11">
        <f>ROUND(G15*Assumptions!$B$3,2)</f>
        <v>17.57</v>
      </c>
      <c r="S15" s="6">
        <v>10</v>
      </c>
      <c r="T15" s="6" t="s">
        <v>57</v>
      </c>
      <c r="U15" s="6" t="s">
        <v>138</v>
      </c>
    </row>
    <row r="16" ht="27.6" spans="1:21">
      <c r="A16" s="6" t="s">
        <v>16</v>
      </c>
      <c r="B16" s="6" t="s">
        <v>139</v>
      </c>
      <c r="C16" s="6" t="s">
        <v>140</v>
      </c>
      <c r="D16" s="6" t="s">
        <v>141</v>
      </c>
      <c r="E16" s="6">
        <v>53</v>
      </c>
      <c r="F16" s="6" t="s">
        <v>142</v>
      </c>
      <c r="G16" s="11">
        <v>75.47</v>
      </c>
      <c r="H16" s="11">
        <f>ROUND(G16*Assumptions!$B$4,2)</f>
        <v>15.09</v>
      </c>
      <c r="I16" s="11">
        <f t="shared" si="0"/>
        <v>80.59</v>
      </c>
      <c r="J16" s="11">
        <f t="shared" si="1"/>
        <v>15.09</v>
      </c>
      <c r="K16" s="11">
        <f t="shared" si="2"/>
        <v>5.89</v>
      </c>
      <c r="L16" s="15">
        <f>ROUND(J16*Assumptions!$B$2,0)</f>
        <v>58217</v>
      </c>
      <c r="M16" s="6" t="s">
        <v>137</v>
      </c>
      <c r="N16" s="6" t="s">
        <v>64</v>
      </c>
      <c r="O16" s="11" t="s">
        <v>12</v>
      </c>
      <c r="P16" s="7" t="s">
        <v>56</v>
      </c>
      <c r="Q16" s="6">
        <v>1</v>
      </c>
      <c r="R16" s="11">
        <f>ROUND(G16*Assumptions!$B$3,2)</f>
        <v>18.76</v>
      </c>
      <c r="S16" s="6">
        <v>10</v>
      </c>
      <c r="T16" s="6" t="s">
        <v>57</v>
      </c>
      <c r="U16" s="6" t="s">
        <v>143</v>
      </c>
    </row>
    <row r="17" ht="27.6" spans="1:21">
      <c r="A17" s="6" t="s">
        <v>16</v>
      </c>
      <c r="B17" s="6" t="s">
        <v>144</v>
      </c>
      <c r="C17" s="6" t="s">
        <v>145</v>
      </c>
      <c r="D17" s="6" t="s">
        <v>146</v>
      </c>
      <c r="E17" s="6">
        <v>86</v>
      </c>
      <c r="F17" s="6" t="s">
        <v>147</v>
      </c>
      <c r="G17" s="11">
        <v>69.15</v>
      </c>
      <c r="H17" s="11">
        <f>ROUND(G17*Assumptions!$B$4,2)</f>
        <v>13.83</v>
      </c>
      <c r="I17" s="11">
        <f t="shared" si="0"/>
        <v>82.21</v>
      </c>
      <c r="J17" s="11">
        <f t="shared" si="1"/>
        <v>13.83</v>
      </c>
      <c r="K17" s="11">
        <f t="shared" si="2"/>
        <v>5.39</v>
      </c>
      <c r="L17" s="15">
        <f>ROUND(J17*Assumptions!$B$2,0)</f>
        <v>53356</v>
      </c>
      <c r="M17" s="6" t="s">
        <v>109</v>
      </c>
      <c r="N17" s="6" t="s">
        <v>64</v>
      </c>
      <c r="O17" s="11" t="s">
        <v>12</v>
      </c>
      <c r="P17" s="7" t="s">
        <v>56</v>
      </c>
      <c r="Q17" s="6">
        <v>2</v>
      </c>
      <c r="R17" s="11">
        <f>ROUND(G17*Assumptions!$B$3,2)</f>
        <v>17.19</v>
      </c>
      <c r="S17" s="6">
        <v>45</v>
      </c>
      <c r="T17" s="6" t="s">
        <v>57</v>
      </c>
      <c r="U17" s="6" t="s">
        <v>148</v>
      </c>
    </row>
    <row r="18" ht="27.6" spans="1:21">
      <c r="A18" s="6" t="s">
        <v>16</v>
      </c>
      <c r="B18" s="6" t="s">
        <v>149</v>
      </c>
      <c r="C18" s="6" t="s">
        <v>150</v>
      </c>
      <c r="D18" s="6" t="s">
        <v>151</v>
      </c>
      <c r="E18" s="6">
        <v>121</v>
      </c>
      <c r="F18" s="6" t="s">
        <v>152</v>
      </c>
      <c r="G18" s="11">
        <v>118.58</v>
      </c>
      <c r="H18" s="11">
        <f>ROUND(G18*Assumptions!$B$4,2)</f>
        <v>23.72</v>
      </c>
      <c r="I18" s="11">
        <f t="shared" si="0"/>
        <v>69.49</v>
      </c>
      <c r="J18" s="11">
        <f t="shared" si="1"/>
        <v>23.72</v>
      </c>
      <c r="K18" s="11">
        <f t="shared" si="2"/>
        <v>9.25</v>
      </c>
      <c r="L18" s="15">
        <f>ROUND(J18*Assumptions!$B$2,0)</f>
        <v>91512</v>
      </c>
      <c r="M18" s="6" t="s">
        <v>121</v>
      </c>
      <c r="N18" s="6" t="s">
        <v>64</v>
      </c>
      <c r="O18" s="11" t="s">
        <v>12</v>
      </c>
      <c r="P18" s="7" t="s">
        <v>56</v>
      </c>
      <c r="Q18" s="6">
        <v>1</v>
      </c>
      <c r="R18" s="11">
        <f>ROUND(G18*Assumptions!$B$3,2)</f>
        <v>29.47</v>
      </c>
      <c r="S18" s="6">
        <v>30</v>
      </c>
      <c r="T18" s="6" t="s">
        <v>57</v>
      </c>
      <c r="U18" s="6" t="s">
        <v>153</v>
      </c>
    </row>
    <row r="19" ht="27.6" spans="1:21">
      <c r="A19" s="6" t="s">
        <v>16</v>
      </c>
      <c r="B19" s="6" t="s">
        <v>154</v>
      </c>
      <c r="C19" s="6" t="s">
        <v>155</v>
      </c>
      <c r="D19" s="6" t="s">
        <v>156</v>
      </c>
      <c r="E19" s="6">
        <v>83</v>
      </c>
      <c r="F19" s="6" t="s">
        <v>157</v>
      </c>
      <c r="G19" s="11">
        <v>39.29</v>
      </c>
      <c r="H19" s="11">
        <f>ROUND(G19*Assumptions!$B$4,2)</f>
        <v>7.86</v>
      </c>
      <c r="I19" s="11">
        <f t="shared" si="0"/>
        <v>89.89</v>
      </c>
      <c r="J19" s="11">
        <f t="shared" si="1"/>
        <v>7.86</v>
      </c>
      <c r="K19" s="11">
        <f t="shared" si="2"/>
        <v>3.07</v>
      </c>
      <c r="L19" s="15">
        <f>ROUND(J19*Assumptions!$B$2,0)</f>
        <v>30324</v>
      </c>
      <c r="M19" s="6" t="s">
        <v>109</v>
      </c>
      <c r="N19" s="6" t="s">
        <v>64</v>
      </c>
      <c r="O19" s="11" t="s">
        <v>12</v>
      </c>
      <c r="P19" s="7" t="s">
        <v>56</v>
      </c>
      <c r="Q19" s="6">
        <v>1</v>
      </c>
      <c r="R19" s="11">
        <f>ROUND(G19*Assumptions!$B$3,2)</f>
        <v>9.77</v>
      </c>
      <c r="S19" s="6">
        <v>23</v>
      </c>
      <c r="T19" s="6" t="s">
        <v>57</v>
      </c>
      <c r="U19" s="6" t="s">
        <v>158</v>
      </c>
    </row>
  </sheetData>
  <conditionalFormatting sqref="I2:I19">
    <cfRule type="colorScale" priority="1">
      <colorScale>
        <cfvo type="min"/>
        <cfvo type="percentile" val="50"/>
        <cfvo type="max"/>
        <color rgb="FFFCA5A5"/>
        <color rgb="FFFEF3C7"/>
        <color rgb="FFDCFCE7"/>
      </colorScale>
    </cfRule>
  </conditionalFormatting>
  <conditionalFormatting sqref="M2:M19">
    <cfRule type="expression" dxfId="0" priority="2">
      <formula>M2="Heavy"</formula>
    </cfRule>
    <cfRule type="expression" dxfId="1" priority="3">
      <formula>M2="Medium"</formula>
    </cfRule>
    <cfRule type="expression" dxfId="2" priority="4">
      <formula>M2="Light"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9"/>
  <sheetViews>
    <sheetView workbookViewId="0">
      <selection activeCell="B1" sqref="B1"/>
    </sheetView>
  </sheetViews>
  <sheetFormatPr defaultColWidth="9" defaultRowHeight="13.8"/>
  <cols>
    <col min="1" max="1" width="11.7083333333333" customWidth="1"/>
    <col min="2" max="2" width="13.1" customWidth="1"/>
    <col min="3" max="3" width="14.4" customWidth="1"/>
    <col min="4" max="4" width="9.55833333333333" customWidth="1"/>
    <col min="5" max="5" width="11.4416666666667" customWidth="1"/>
    <col min="6" max="6" width="9.15" customWidth="1"/>
    <col min="7" max="7" width="11.0416666666667" customWidth="1"/>
    <col min="8" max="8" width="8.60833333333333" customWidth="1"/>
    <col min="9" max="9" width="27.9916666666667" customWidth="1"/>
    <col min="10" max="10" width="31.9" customWidth="1"/>
    <col min="11" max="11" width="34.05" customWidth="1"/>
    <col min="12" max="12" width="32.5666666666667" customWidth="1"/>
    <col min="13" max="13" width="37.0083333333333" customWidth="1"/>
    <col min="14" max="14" width="41.05" customWidth="1"/>
    <col min="15" max="15" width="23.6916666666667" customWidth="1"/>
    <col min="16" max="16" width="22.2083333333333" customWidth="1"/>
    <col min="17" max="17" width="24.2333333333333" customWidth="1"/>
    <col min="18" max="18" width="23.55" customWidth="1"/>
  </cols>
  <sheetData>
    <row r="1" ht="34" customHeight="1" spans="1:26">
      <c r="A1" s="3" t="s">
        <v>0</v>
      </c>
      <c r="B1" s="3" t="s">
        <v>31</v>
      </c>
      <c r="C1" s="3" t="s">
        <v>32</v>
      </c>
      <c r="D1" s="3" t="s">
        <v>159</v>
      </c>
      <c r="E1" s="3" t="s">
        <v>160</v>
      </c>
      <c r="F1" s="3" t="s">
        <v>161</v>
      </c>
      <c r="G1" s="3" t="s">
        <v>162</v>
      </c>
      <c r="H1" s="3" t="s">
        <v>163</v>
      </c>
      <c r="I1" s="10" t="s">
        <v>164</v>
      </c>
      <c r="J1" s="10" t="s">
        <v>165</v>
      </c>
      <c r="K1" s="10" t="s">
        <v>166</v>
      </c>
      <c r="L1" s="10" t="s">
        <v>167</v>
      </c>
      <c r="M1" s="10" t="s">
        <v>168</v>
      </c>
      <c r="N1" s="10" t="s">
        <v>169</v>
      </c>
      <c r="O1" s="10" t="s">
        <v>170</v>
      </c>
      <c r="P1" s="10" t="s">
        <v>171</v>
      </c>
      <c r="Q1" s="10" t="s">
        <v>172</v>
      </c>
      <c r="R1" s="10" t="s">
        <v>173</v>
      </c>
      <c r="S1" s="3"/>
      <c r="T1" s="3"/>
      <c r="U1" s="3"/>
      <c r="V1" s="3"/>
      <c r="W1" s="3"/>
      <c r="X1" s="3"/>
      <c r="Y1" s="3"/>
      <c r="Z1" s="3"/>
    </row>
    <row r="2" ht="27.6" spans="1:18">
      <c r="A2" s="6" t="s">
        <v>11</v>
      </c>
      <c r="B2" s="6" t="s">
        <v>50</v>
      </c>
      <c r="C2" s="6" t="s">
        <v>51</v>
      </c>
      <c r="D2" s="6">
        <v>1</v>
      </c>
      <c r="E2" s="6" t="s">
        <v>174</v>
      </c>
      <c r="F2" s="6" t="s">
        <v>175</v>
      </c>
      <c r="G2" s="6" t="s">
        <v>176</v>
      </c>
      <c r="H2" s="6" t="s">
        <v>177</v>
      </c>
      <c r="I2" s="11">
        <v>36.06</v>
      </c>
      <c r="J2" s="11">
        <f>ROUND(I2*Assumptions!$B$4,2)</f>
        <v>7.21</v>
      </c>
      <c r="K2" s="11">
        <f t="shared" ref="K2:K59" si="0">ROUND(IF(D2=1,IF($A2="r102C10",60.63,77.75),L1),2)</f>
        <v>77.75</v>
      </c>
      <c r="L2" s="11">
        <f t="shared" ref="L2:L59" si="1">ROUND(K2-J2+M2,2)</f>
        <v>70.54</v>
      </c>
      <c r="M2" s="11">
        <v>0</v>
      </c>
      <c r="N2" s="11">
        <v>0</v>
      </c>
      <c r="O2" s="11">
        <v>36.06</v>
      </c>
      <c r="P2" s="11">
        <v>140.94</v>
      </c>
      <c r="Q2" s="11">
        <v>177</v>
      </c>
      <c r="R2" s="11">
        <v>267</v>
      </c>
    </row>
    <row r="3" ht="27.6" spans="1:18">
      <c r="A3" s="6" t="s">
        <v>11</v>
      </c>
      <c r="B3" s="6" t="s">
        <v>50</v>
      </c>
      <c r="C3" s="6" t="s">
        <v>51</v>
      </c>
      <c r="D3" s="6">
        <v>2</v>
      </c>
      <c r="E3" s="6" t="s">
        <v>175</v>
      </c>
      <c r="F3" s="6" t="s">
        <v>178</v>
      </c>
      <c r="G3" s="6" t="s">
        <v>177</v>
      </c>
      <c r="H3" s="6" t="s">
        <v>177</v>
      </c>
      <c r="I3" s="11">
        <v>2</v>
      </c>
      <c r="J3" s="11">
        <f>ROUND(I3*Assumptions!$B$4,2)</f>
        <v>0.4</v>
      </c>
      <c r="K3" s="11">
        <f t="shared" si="0"/>
        <v>70.54</v>
      </c>
      <c r="L3" s="11">
        <f t="shared" si="1"/>
        <v>70.14</v>
      </c>
      <c r="M3" s="11">
        <v>0</v>
      </c>
      <c r="N3" s="11">
        <v>0</v>
      </c>
      <c r="O3" s="11">
        <v>269</v>
      </c>
      <c r="P3" s="11">
        <v>5</v>
      </c>
      <c r="Q3" s="11">
        <v>274</v>
      </c>
      <c r="R3" s="11">
        <v>364</v>
      </c>
    </row>
    <row r="4" ht="27.6" spans="1:18">
      <c r="A4" s="6" t="s">
        <v>11</v>
      </c>
      <c r="B4" s="6" t="s">
        <v>50</v>
      </c>
      <c r="C4" s="6" t="s">
        <v>51</v>
      </c>
      <c r="D4" s="6">
        <v>3</v>
      </c>
      <c r="E4" s="6" t="s">
        <v>178</v>
      </c>
      <c r="F4" s="6" t="s">
        <v>179</v>
      </c>
      <c r="G4" s="6" t="s">
        <v>177</v>
      </c>
      <c r="H4" s="6" t="s">
        <v>180</v>
      </c>
      <c r="I4" s="11">
        <v>5.39</v>
      </c>
      <c r="J4" s="11">
        <f>ROUND(I4*Assumptions!$B$4,2)</f>
        <v>1.08</v>
      </c>
      <c r="K4" s="11">
        <f t="shared" si="0"/>
        <v>70.14</v>
      </c>
      <c r="L4" s="11">
        <f t="shared" si="1"/>
        <v>69.06</v>
      </c>
      <c r="M4" s="11">
        <v>0</v>
      </c>
      <c r="N4" s="11">
        <v>0</v>
      </c>
      <c r="O4" s="11">
        <v>369.39</v>
      </c>
      <c r="P4" s="11">
        <v>0</v>
      </c>
      <c r="Q4" s="11" t="s">
        <v>181</v>
      </c>
      <c r="R4" s="11" t="s">
        <v>181</v>
      </c>
    </row>
    <row r="5" ht="27.6" spans="1:18">
      <c r="A5" s="6" t="s">
        <v>11</v>
      </c>
      <c r="B5" s="6" t="s">
        <v>50</v>
      </c>
      <c r="C5" s="6" t="s">
        <v>51</v>
      </c>
      <c r="D5" s="6">
        <v>4</v>
      </c>
      <c r="E5" s="6" t="s">
        <v>179</v>
      </c>
      <c r="F5" s="6" t="s">
        <v>174</v>
      </c>
      <c r="G5" s="6" t="s">
        <v>180</v>
      </c>
      <c r="H5" s="6" t="s">
        <v>176</v>
      </c>
      <c r="I5" s="11">
        <v>36.24</v>
      </c>
      <c r="J5" s="11">
        <f>ROUND(I5*Assumptions!$B$4,2)</f>
        <v>7.25</v>
      </c>
      <c r="K5" s="11">
        <f t="shared" si="0"/>
        <v>69.06</v>
      </c>
      <c r="L5" s="11">
        <f t="shared" si="1"/>
        <v>61.81</v>
      </c>
      <c r="M5" s="11">
        <v>0</v>
      </c>
      <c r="N5" s="11">
        <v>0</v>
      </c>
      <c r="O5" s="11">
        <v>412.3</v>
      </c>
      <c r="P5" s="11">
        <v>0</v>
      </c>
      <c r="Q5" s="11" t="s">
        <v>181</v>
      </c>
      <c r="R5" s="11" t="s">
        <v>181</v>
      </c>
    </row>
    <row r="6" ht="27.6" spans="1:18">
      <c r="A6" s="6" t="s">
        <v>11</v>
      </c>
      <c r="B6" s="6" t="s">
        <v>59</v>
      </c>
      <c r="C6" s="6" t="s">
        <v>60</v>
      </c>
      <c r="D6" s="6">
        <v>1</v>
      </c>
      <c r="E6" s="6" t="s">
        <v>174</v>
      </c>
      <c r="F6" s="6" t="s">
        <v>182</v>
      </c>
      <c r="G6" s="6" t="s">
        <v>176</v>
      </c>
      <c r="H6" s="6" t="s">
        <v>177</v>
      </c>
      <c r="I6" s="11">
        <v>30.81</v>
      </c>
      <c r="J6" s="11">
        <f>ROUND(I6*Assumptions!$B$4,2)</f>
        <v>6.16</v>
      </c>
      <c r="K6" s="11">
        <f t="shared" si="0"/>
        <v>77.75</v>
      </c>
      <c r="L6" s="11">
        <f t="shared" si="1"/>
        <v>71.59</v>
      </c>
      <c r="M6" s="11">
        <v>0</v>
      </c>
      <c r="N6" s="11">
        <v>0</v>
      </c>
      <c r="O6" s="11">
        <v>30.81</v>
      </c>
      <c r="P6" s="11">
        <v>150.19</v>
      </c>
      <c r="Q6" s="11">
        <v>181</v>
      </c>
      <c r="R6" s="11">
        <v>271</v>
      </c>
    </row>
    <row r="7" ht="27.6" spans="1:18">
      <c r="A7" s="6" t="s">
        <v>11</v>
      </c>
      <c r="B7" s="6" t="s">
        <v>59</v>
      </c>
      <c r="C7" s="6" t="s">
        <v>60</v>
      </c>
      <c r="D7" s="6">
        <v>2</v>
      </c>
      <c r="E7" s="6" t="s">
        <v>182</v>
      </c>
      <c r="F7" s="6" t="s">
        <v>174</v>
      </c>
      <c r="G7" s="6" t="s">
        <v>177</v>
      </c>
      <c r="H7" s="6" t="s">
        <v>176</v>
      </c>
      <c r="I7" s="11">
        <v>30.81</v>
      </c>
      <c r="J7" s="11">
        <f>ROUND(I7*Assumptions!$B$4,2)</f>
        <v>6.16</v>
      </c>
      <c r="K7" s="11">
        <f t="shared" si="0"/>
        <v>71.59</v>
      </c>
      <c r="L7" s="11">
        <f t="shared" si="1"/>
        <v>65.43</v>
      </c>
      <c r="M7" s="11">
        <v>0</v>
      </c>
      <c r="N7" s="11">
        <v>0</v>
      </c>
      <c r="O7" s="11">
        <v>301.81</v>
      </c>
      <c r="P7" s="11">
        <v>0</v>
      </c>
      <c r="Q7" s="11" t="s">
        <v>181</v>
      </c>
      <c r="R7" s="11" t="s">
        <v>181</v>
      </c>
    </row>
    <row r="8" ht="27.6" spans="1:18">
      <c r="A8" s="6" t="s">
        <v>11</v>
      </c>
      <c r="B8" s="6" t="s">
        <v>66</v>
      </c>
      <c r="C8" s="6" t="s">
        <v>67</v>
      </c>
      <c r="D8" s="6">
        <v>1</v>
      </c>
      <c r="E8" s="6" t="s">
        <v>174</v>
      </c>
      <c r="F8" s="6" t="s">
        <v>183</v>
      </c>
      <c r="G8" s="6" t="s">
        <v>176</v>
      </c>
      <c r="H8" s="6" t="s">
        <v>177</v>
      </c>
      <c r="I8" s="11">
        <v>17.12</v>
      </c>
      <c r="J8" s="11">
        <f>ROUND(I8*Assumptions!$B$4,2)</f>
        <v>3.42</v>
      </c>
      <c r="K8" s="11">
        <f t="shared" si="0"/>
        <v>77.75</v>
      </c>
      <c r="L8" s="11">
        <f t="shared" si="1"/>
        <v>74.33</v>
      </c>
      <c r="M8" s="11">
        <v>0</v>
      </c>
      <c r="N8" s="11">
        <v>0</v>
      </c>
      <c r="O8" s="11">
        <v>17.12</v>
      </c>
      <c r="P8" s="11">
        <v>245.88</v>
      </c>
      <c r="Q8" s="11">
        <v>263</v>
      </c>
      <c r="R8" s="11">
        <v>353</v>
      </c>
    </row>
    <row r="9" ht="27.6" spans="1:18">
      <c r="A9" s="6" t="s">
        <v>11</v>
      </c>
      <c r="B9" s="6" t="s">
        <v>66</v>
      </c>
      <c r="C9" s="6" t="s">
        <v>67</v>
      </c>
      <c r="D9" s="6">
        <v>2</v>
      </c>
      <c r="E9" s="6" t="s">
        <v>183</v>
      </c>
      <c r="F9" s="6" t="s">
        <v>184</v>
      </c>
      <c r="G9" s="6" t="s">
        <v>177</v>
      </c>
      <c r="H9" s="6" t="s">
        <v>177</v>
      </c>
      <c r="I9" s="11">
        <v>24.84</v>
      </c>
      <c r="J9" s="11">
        <f>ROUND(I9*Assumptions!$B$4,2)</f>
        <v>4.97</v>
      </c>
      <c r="K9" s="11">
        <f t="shared" si="0"/>
        <v>74.33</v>
      </c>
      <c r="L9" s="11">
        <f t="shared" si="1"/>
        <v>69.36</v>
      </c>
      <c r="M9" s="11">
        <v>0</v>
      </c>
      <c r="N9" s="11">
        <v>0</v>
      </c>
      <c r="O9" s="11">
        <v>377.84</v>
      </c>
      <c r="P9" s="11">
        <v>206.16</v>
      </c>
      <c r="Q9" s="11">
        <v>584</v>
      </c>
      <c r="R9" s="11">
        <v>674</v>
      </c>
    </row>
    <row r="10" ht="27.6" spans="1:18">
      <c r="A10" s="6" t="s">
        <v>11</v>
      </c>
      <c r="B10" s="6" t="s">
        <v>66</v>
      </c>
      <c r="C10" s="6" t="s">
        <v>67</v>
      </c>
      <c r="D10" s="6">
        <v>3</v>
      </c>
      <c r="E10" s="6" t="s">
        <v>184</v>
      </c>
      <c r="F10" s="6" t="s">
        <v>174</v>
      </c>
      <c r="G10" s="6" t="s">
        <v>177</v>
      </c>
      <c r="H10" s="6" t="s">
        <v>176</v>
      </c>
      <c r="I10" s="11">
        <v>18.11</v>
      </c>
      <c r="J10" s="11">
        <f>ROUND(I10*Assumptions!$B$4,2)</f>
        <v>3.62</v>
      </c>
      <c r="K10" s="11">
        <f t="shared" si="0"/>
        <v>69.36</v>
      </c>
      <c r="L10" s="11">
        <f t="shared" si="1"/>
        <v>65.74</v>
      </c>
      <c r="M10" s="11">
        <v>0</v>
      </c>
      <c r="N10" s="11">
        <v>0</v>
      </c>
      <c r="O10" s="11">
        <v>692.11</v>
      </c>
      <c r="P10" s="11">
        <v>0</v>
      </c>
      <c r="Q10" s="11" t="s">
        <v>181</v>
      </c>
      <c r="R10" s="11" t="s">
        <v>181</v>
      </c>
    </row>
    <row r="11" ht="27.6" spans="1:18">
      <c r="A11" s="6" t="s">
        <v>11</v>
      </c>
      <c r="B11" s="6" t="s">
        <v>72</v>
      </c>
      <c r="C11" s="6" t="s">
        <v>73</v>
      </c>
      <c r="D11" s="6">
        <v>1</v>
      </c>
      <c r="E11" s="6" t="s">
        <v>174</v>
      </c>
      <c r="F11" s="6" t="s">
        <v>185</v>
      </c>
      <c r="G11" s="6" t="s">
        <v>176</v>
      </c>
      <c r="H11" s="6" t="s">
        <v>177</v>
      </c>
      <c r="I11" s="11">
        <v>50.29</v>
      </c>
      <c r="J11" s="11">
        <f>ROUND(I11*Assumptions!$B$4,2)</f>
        <v>10.06</v>
      </c>
      <c r="K11" s="11">
        <f t="shared" si="0"/>
        <v>77.75</v>
      </c>
      <c r="L11" s="11">
        <f t="shared" si="1"/>
        <v>67.69</v>
      </c>
      <c r="M11" s="11">
        <v>0</v>
      </c>
      <c r="N11" s="11">
        <v>0</v>
      </c>
      <c r="O11" s="11">
        <v>50.29</v>
      </c>
      <c r="P11" s="11">
        <v>616.71</v>
      </c>
      <c r="Q11" s="11">
        <v>667</v>
      </c>
      <c r="R11" s="11">
        <v>757</v>
      </c>
    </row>
    <row r="12" ht="27.6" spans="1:18">
      <c r="A12" s="6" t="s">
        <v>11</v>
      </c>
      <c r="B12" s="6" t="s">
        <v>72</v>
      </c>
      <c r="C12" s="6" t="s">
        <v>73</v>
      </c>
      <c r="D12" s="6">
        <v>2</v>
      </c>
      <c r="E12" s="6" t="s">
        <v>185</v>
      </c>
      <c r="F12" s="6" t="s">
        <v>186</v>
      </c>
      <c r="G12" s="6" t="s">
        <v>177</v>
      </c>
      <c r="H12" s="6" t="s">
        <v>180</v>
      </c>
      <c r="I12" s="11">
        <v>9.43</v>
      </c>
      <c r="J12" s="11">
        <f>ROUND(I12*Assumptions!$B$4,2)</f>
        <v>1.89</v>
      </c>
      <c r="K12" s="11">
        <f t="shared" si="0"/>
        <v>67.69</v>
      </c>
      <c r="L12" s="11">
        <f t="shared" si="1"/>
        <v>65.8</v>
      </c>
      <c r="M12" s="11">
        <v>0</v>
      </c>
      <c r="N12" s="11">
        <v>0</v>
      </c>
      <c r="O12" s="11">
        <v>766.43</v>
      </c>
      <c r="P12" s="11">
        <v>0</v>
      </c>
      <c r="Q12" s="11" t="s">
        <v>181</v>
      </c>
      <c r="R12" s="11" t="s">
        <v>181</v>
      </c>
    </row>
    <row r="13" ht="27.6" spans="1:18">
      <c r="A13" s="6" t="s">
        <v>11</v>
      </c>
      <c r="B13" s="6" t="s">
        <v>72</v>
      </c>
      <c r="C13" s="6" t="s">
        <v>73</v>
      </c>
      <c r="D13" s="6">
        <v>3</v>
      </c>
      <c r="E13" s="6" t="s">
        <v>186</v>
      </c>
      <c r="F13" s="6" t="s">
        <v>174</v>
      </c>
      <c r="G13" s="6" t="s">
        <v>180</v>
      </c>
      <c r="H13" s="6" t="s">
        <v>176</v>
      </c>
      <c r="I13" s="11">
        <v>53.46</v>
      </c>
      <c r="J13" s="11">
        <f>ROUND(I13*Assumptions!$B$4,2)</f>
        <v>10.69</v>
      </c>
      <c r="K13" s="11">
        <f t="shared" si="0"/>
        <v>65.8</v>
      </c>
      <c r="L13" s="11">
        <f t="shared" si="1"/>
        <v>55.11</v>
      </c>
      <c r="M13" s="11">
        <v>0</v>
      </c>
      <c r="N13" s="11">
        <v>0</v>
      </c>
      <c r="O13" s="11">
        <v>942.85</v>
      </c>
      <c r="P13" s="11">
        <v>0</v>
      </c>
      <c r="Q13" s="11" t="s">
        <v>181</v>
      </c>
      <c r="R13" s="11" t="s">
        <v>181</v>
      </c>
    </row>
    <row r="14" ht="27.6" spans="1:18">
      <c r="A14" s="6" t="s">
        <v>11</v>
      </c>
      <c r="B14" s="6" t="s">
        <v>79</v>
      </c>
      <c r="C14" s="6" t="s">
        <v>80</v>
      </c>
      <c r="D14" s="6">
        <v>1</v>
      </c>
      <c r="E14" s="6" t="s">
        <v>174</v>
      </c>
      <c r="F14" s="6" t="s">
        <v>187</v>
      </c>
      <c r="G14" s="6" t="s">
        <v>176</v>
      </c>
      <c r="H14" s="6" t="s">
        <v>177</v>
      </c>
      <c r="I14" s="11">
        <v>38.08</v>
      </c>
      <c r="J14" s="11">
        <f>ROUND(I14*Assumptions!$B$4,2)</f>
        <v>7.62</v>
      </c>
      <c r="K14" s="11">
        <f t="shared" si="0"/>
        <v>77.75</v>
      </c>
      <c r="L14" s="11">
        <f t="shared" si="1"/>
        <v>70.13</v>
      </c>
      <c r="M14" s="11">
        <v>0</v>
      </c>
      <c r="N14" s="11">
        <v>0</v>
      </c>
      <c r="O14" s="11">
        <v>38.08</v>
      </c>
      <c r="P14" s="11">
        <v>705.92</v>
      </c>
      <c r="Q14" s="11">
        <v>744</v>
      </c>
      <c r="R14" s="11">
        <v>834</v>
      </c>
    </row>
    <row r="15" ht="27.6" spans="1:18">
      <c r="A15" s="6" t="s">
        <v>11</v>
      </c>
      <c r="B15" s="6" t="s">
        <v>79</v>
      </c>
      <c r="C15" s="6" t="s">
        <v>80</v>
      </c>
      <c r="D15" s="6">
        <v>2</v>
      </c>
      <c r="E15" s="6" t="s">
        <v>187</v>
      </c>
      <c r="F15" s="6" t="s">
        <v>179</v>
      </c>
      <c r="G15" s="6" t="s">
        <v>177</v>
      </c>
      <c r="H15" s="6" t="s">
        <v>180</v>
      </c>
      <c r="I15" s="11">
        <v>3.61</v>
      </c>
      <c r="J15" s="11">
        <f>ROUND(I15*Assumptions!$B$4,2)</f>
        <v>0.72</v>
      </c>
      <c r="K15" s="11">
        <f t="shared" si="0"/>
        <v>70.13</v>
      </c>
      <c r="L15" s="11">
        <f t="shared" si="1"/>
        <v>69.41</v>
      </c>
      <c r="M15" s="11">
        <v>0</v>
      </c>
      <c r="N15" s="11">
        <v>0</v>
      </c>
      <c r="O15" s="11">
        <v>837.61</v>
      </c>
      <c r="P15" s="11">
        <v>0</v>
      </c>
      <c r="Q15" s="11" t="s">
        <v>181</v>
      </c>
      <c r="R15" s="11" t="s">
        <v>181</v>
      </c>
    </row>
    <row r="16" ht="27.6" spans="1:18">
      <c r="A16" s="6" t="s">
        <v>11</v>
      </c>
      <c r="B16" s="6" t="s">
        <v>79</v>
      </c>
      <c r="C16" s="6" t="s">
        <v>80</v>
      </c>
      <c r="D16" s="6">
        <v>3</v>
      </c>
      <c r="E16" s="6" t="s">
        <v>179</v>
      </c>
      <c r="F16" s="6" t="s">
        <v>188</v>
      </c>
      <c r="G16" s="6" t="s">
        <v>180</v>
      </c>
      <c r="H16" s="6" t="s">
        <v>177</v>
      </c>
      <c r="I16" s="11">
        <v>24.74</v>
      </c>
      <c r="J16" s="11">
        <f>ROUND(I16*Assumptions!$B$4,2)</f>
        <v>4.95</v>
      </c>
      <c r="K16" s="11">
        <f t="shared" si="0"/>
        <v>69.41</v>
      </c>
      <c r="L16" s="11">
        <f t="shared" si="1"/>
        <v>64.46</v>
      </c>
      <c r="M16" s="11">
        <v>0</v>
      </c>
      <c r="N16" s="11">
        <v>0</v>
      </c>
      <c r="O16" s="11">
        <v>907.54</v>
      </c>
      <c r="P16" s="11">
        <v>21.46</v>
      </c>
      <c r="Q16" s="11">
        <v>929</v>
      </c>
      <c r="R16" s="11">
        <v>1019</v>
      </c>
    </row>
    <row r="17" ht="27.6" spans="1:18">
      <c r="A17" s="6" t="s">
        <v>11</v>
      </c>
      <c r="B17" s="6" t="s">
        <v>79</v>
      </c>
      <c r="C17" s="6" t="s">
        <v>80</v>
      </c>
      <c r="D17" s="6">
        <v>4</v>
      </c>
      <c r="E17" s="6" t="s">
        <v>188</v>
      </c>
      <c r="F17" s="6" t="s">
        <v>174</v>
      </c>
      <c r="G17" s="6" t="s">
        <v>177</v>
      </c>
      <c r="H17" s="6" t="s">
        <v>176</v>
      </c>
      <c r="I17" s="11">
        <v>24.35</v>
      </c>
      <c r="J17" s="11">
        <f>ROUND(I17*Assumptions!$B$4,2)</f>
        <v>4.87</v>
      </c>
      <c r="K17" s="11">
        <f t="shared" si="0"/>
        <v>64.46</v>
      </c>
      <c r="L17" s="11">
        <f t="shared" si="1"/>
        <v>59.59</v>
      </c>
      <c r="M17" s="11">
        <v>0</v>
      </c>
      <c r="N17" s="11">
        <v>0</v>
      </c>
      <c r="O17" s="11">
        <v>1043.35</v>
      </c>
      <c r="P17" s="11">
        <v>0</v>
      </c>
      <c r="Q17" s="11" t="s">
        <v>181</v>
      </c>
      <c r="R17" s="11" t="s">
        <v>181</v>
      </c>
    </row>
    <row r="18" ht="27.6" spans="1:18">
      <c r="A18" s="6" t="s">
        <v>11</v>
      </c>
      <c r="B18" s="6" t="s">
        <v>85</v>
      </c>
      <c r="C18" s="6" t="s">
        <v>86</v>
      </c>
      <c r="D18" s="6">
        <v>1</v>
      </c>
      <c r="E18" s="6" t="s">
        <v>174</v>
      </c>
      <c r="F18" s="6" t="s">
        <v>189</v>
      </c>
      <c r="G18" s="6" t="s">
        <v>176</v>
      </c>
      <c r="H18" s="6" t="s">
        <v>177</v>
      </c>
      <c r="I18" s="11">
        <v>40.05</v>
      </c>
      <c r="J18" s="11">
        <f>ROUND(I18*Assumptions!$B$4,2)</f>
        <v>8.01</v>
      </c>
      <c r="K18" s="11">
        <f t="shared" si="0"/>
        <v>77.75</v>
      </c>
      <c r="L18" s="11">
        <f t="shared" si="1"/>
        <v>69.74</v>
      </c>
      <c r="M18" s="11">
        <v>0</v>
      </c>
      <c r="N18" s="11">
        <v>0</v>
      </c>
      <c r="O18" s="11">
        <v>40.05</v>
      </c>
      <c r="P18" s="11">
        <v>769.95</v>
      </c>
      <c r="Q18" s="11">
        <v>810</v>
      </c>
      <c r="R18" s="11">
        <v>900</v>
      </c>
    </row>
    <row r="19" ht="27.6" spans="1:18">
      <c r="A19" s="6" t="s">
        <v>11</v>
      </c>
      <c r="B19" s="6" t="s">
        <v>85</v>
      </c>
      <c r="C19" s="6" t="s">
        <v>86</v>
      </c>
      <c r="D19" s="6">
        <v>2</v>
      </c>
      <c r="E19" s="6" t="s">
        <v>189</v>
      </c>
      <c r="F19" s="6" t="s">
        <v>190</v>
      </c>
      <c r="G19" s="6" t="s">
        <v>177</v>
      </c>
      <c r="H19" s="6" t="s">
        <v>180</v>
      </c>
      <c r="I19" s="11">
        <v>6.32</v>
      </c>
      <c r="J19" s="11">
        <f>ROUND(I19*Assumptions!$B$4,2)</f>
        <v>1.26</v>
      </c>
      <c r="K19" s="11">
        <f t="shared" si="0"/>
        <v>69.74</v>
      </c>
      <c r="L19" s="11">
        <f t="shared" si="1"/>
        <v>68.48</v>
      </c>
      <c r="M19" s="11">
        <v>0</v>
      </c>
      <c r="N19" s="11">
        <v>0</v>
      </c>
      <c r="O19" s="11">
        <v>906.32</v>
      </c>
      <c r="P19" s="11">
        <v>0</v>
      </c>
      <c r="Q19" s="11" t="s">
        <v>181</v>
      </c>
      <c r="R19" s="11" t="s">
        <v>181</v>
      </c>
    </row>
    <row r="20" ht="27.6" spans="1:18">
      <c r="A20" s="6" t="s">
        <v>11</v>
      </c>
      <c r="B20" s="6" t="s">
        <v>85</v>
      </c>
      <c r="C20" s="6" t="s">
        <v>86</v>
      </c>
      <c r="D20" s="6">
        <v>3</v>
      </c>
      <c r="E20" s="6" t="s">
        <v>190</v>
      </c>
      <c r="F20" s="6" t="s">
        <v>174</v>
      </c>
      <c r="G20" s="6" t="s">
        <v>180</v>
      </c>
      <c r="H20" s="6" t="s">
        <v>176</v>
      </c>
      <c r="I20" s="11">
        <v>42.76</v>
      </c>
      <c r="J20" s="11">
        <f>ROUND(I20*Assumptions!$B$4,2)</f>
        <v>8.55</v>
      </c>
      <c r="K20" s="11">
        <f t="shared" si="0"/>
        <v>68.48</v>
      </c>
      <c r="L20" s="11">
        <f t="shared" si="1"/>
        <v>59.93</v>
      </c>
      <c r="M20" s="11">
        <v>0</v>
      </c>
      <c r="N20" s="11">
        <v>0</v>
      </c>
      <c r="O20" s="11">
        <v>988.57</v>
      </c>
      <c r="P20" s="11">
        <v>0</v>
      </c>
      <c r="Q20" s="11" t="s">
        <v>181</v>
      </c>
      <c r="R20" s="11" t="s">
        <v>181</v>
      </c>
    </row>
    <row r="21" ht="27.6" spans="1:18">
      <c r="A21" s="6" t="s">
        <v>11</v>
      </c>
      <c r="B21" s="6" t="s">
        <v>92</v>
      </c>
      <c r="C21" s="6" t="s">
        <v>93</v>
      </c>
      <c r="D21" s="6">
        <v>1</v>
      </c>
      <c r="E21" s="6" t="s">
        <v>174</v>
      </c>
      <c r="F21" s="6" t="s">
        <v>191</v>
      </c>
      <c r="G21" s="6" t="s">
        <v>176</v>
      </c>
      <c r="H21" s="6" t="s">
        <v>177</v>
      </c>
      <c r="I21" s="11">
        <v>30.81</v>
      </c>
      <c r="J21" s="11">
        <f>ROUND(I21*Assumptions!$B$4,2)</f>
        <v>6.16</v>
      </c>
      <c r="K21" s="11">
        <f t="shared" si="0"/>
        <v>77.75</v>
      </c>
      <c r="L21" s="11">
        <f t="shared" si="1"/>
        <v>71.59</v>
      </c>
      <c r="M21" s="11">
        <v>0</v>
      </c>
      <c r="N21" s="11">
        <v>0</v>
      </c>
      <c r="O21" s="11">
        <v>30.81</v>
      </c>
      <c r="P21" s="11">
        <v>1011.19</v>
      </c>
      <c r="Q21" s="11">
        <v>1042</v>
      </c>
      <c r="R21" s="11">
        <v>1132</v>
      </c>
    </row>
    <row r="22" ht="27.6" spans="1:18">
      <c r="A22" s="6" t="s">
        <v>11</v>
      </c>
      <c r="B22" s="6" t="s">
        <v>92</v>
      </c>
      <c r="C22" s="6" t="s">
        <v>93</v>
      </c>
      <c r="D22" s="6">
        <v>2</v>
      </c>
      <c r="E22" s="6" t="s">
        <v>191</v>
      </c>
      <c r="F22" s="6" t="s">
        <v>174</v>
      </c>
      <c r="G22" s="6" t="s">
        <v>177</v>
      </c>
      <c r="H22" s="6" t="s">
        <v>176</v>
      </c>
      <c r="I22" s="11">
        <v>30.81</v>
      </c>
      <c r="J22" s="11">
        <f>ROUND(I22*Assumptions!$B$4,2)</f>
        <v>6.16</v>
      </c>
      <c r="K22" s="11">
        <f t="shared" si="0"/>
        <v>71.59</v>
      </c>
      <c r="L22" s="11">
        <f t="shared" si="1"/>
        <v>65.43</v>
      </c>
      <c r="M22" s="11">
        <v>0</v>
      </c>
      <c r="N22" s="11">
        <v>0</v>
      </c>
      <c r="O22" s="11">
        <v>1162.81</v>
      </c>
      <c r="P22" s="11">
        <v>0</v>
      </c>
      <c r="Q22" s="11" t="s">
        <v>181</v>
      </c>
      <c r="R22" s="11" t="s">
        <v>181</v>
      </c>
    </row>
    <row r="23" ht="27.6" spans="1:18">
      <c r="A23" s="6" t="s">
        <v>14</v>
      </c>
      <c r="B23" s="6" t="s">
        <v>98</v>
      </c>
      <c r="C23" s="6" t="s">
        <v>99</v>
      </c>
      <c r="D23" s="6">
        <v>1</v>
      </c>
      <c r="E23" s="6" t="s">
        <v>174</v>
      </c>
      <c r="F23" s="6" t="s">
        <v>192</v>
      </c>
      <c r="G23" s="6" t="s">
        <v>176</v>
      </c>
      <c r="H23" s="6" t="s">
        <v>177</v>
      </c>
      <c r="I23" s="11">
        <v>17.46</v>
      </c>
      <c r="J23" s="11">
        <f>ROUND(I23*Assumptions!$B$4,2)</f>
        <v>3.49</v>
      </c>
      <c r="K23" s="11">
        <f t="shared" si="0"/>
        <v>60.63</v>
      </c>
      <c r="L23" s="11">
        <f t="shared" si="1"/>
        <v>57.14</v>
      </c>
      <c r="M23" s="11">
        <v>0</v>
      </c>
      <c r="N23" s="11">
        <v>0</v>
      </c>
      <c r="O23" s="11">
        <v>17.46</v>
      </c>
      <c r="P23" s="11">
        <v>7.54</v>
      </c>
      <c r="Q23" s="11">
        <v>25</v>
      </c>
      <c r="R23" s="11">
        <v>35</v>
      </c>
    </row>
    <row r="24" ht="27.6" spans="1:18">
      <c r="A24" s="6" t="s">
        <v>14</v>
      </c>
      <c r="B24" s="6" t="s">
        <v>98</v>
      </c>
      <c r="C24" s="6" t="s">
        <v>99</v>
      </c>
      <c r="D24" s="6">
        <v>2</v>
      </c>
      <c r="E24" s="6" t="s">
        <v>192</v>
      </c>
      <c r="F24" s="6" t="s">
        <v>193</v>
      </c>
      <c r="G24" s="6" t="s">
        <v>177</v>
      </c>
      <c r="H24" s="6" t="s">
        <v>177</v>
      </c>
      <c r="I24" s="11">
        <v>5</v>
      </c>
      <c r="J24" s="11">
        <f>ROUND(I24*Assumptions!$B$4,2)</f>
        <v>1</v>
      </c>
      <c r="K24" s="11">
        <f t="shared" si="0"/>
        <v>57.14</v>
      </c>
      <c r="L24" s="11">
        <f t="shared" si="1"/>
        <v>56.14</v>
      </c>
      <c r="M24" s="11">
        <v>0</v>
      </c>
      <c r="N24" s="11">
        <v>0</v>
      </c>
      <c r="O24" s="11">
        <v>40</v>
      </c>
      <c r="P24" s="11">
        <v>126</v>
      </c>
      <c r="Q24" s="11">
        <v>166</v>
      </c>
      <c r="R24" s="11">
        <v>176</v>
      </c>
    </row>
    <row r="25" ht="27.6" spans="1:18">
      <c r="A25" s="6" t="s">
        <v>14</v>
      </c>
      <c r="B25" s="6" t="s">
        <v>98</v>
      </c>
      <c r="C25" s="6" t="s">
        <v>99</v>
      </c>
      <c r="D25" s="6">
        <v>3</v>
      </c>
      <c r="E25" s="6" t="s">
        <v>193</v>
      </c>
      <c r="F25" s="6" t="s">
        <v>174</v>
      </c>
      <c r="G25" s="6" t="s">
        <v>177</v>
      </c>
      <c r="H25" s="6" t="s">
        <v>176</v>
      </c>
      <c r="I25" s="11">
        <v>19.24</v>
      </c>
      <c r="J25" s="11">
        <f>ROUND(I25*Assumptions!$B$4,2)</f>
        <v>3.85</v>
      </c>
      <c r="K25" s="11">
        <f t="shared" si="0"/>
        <v>56.14</v>
      </c>
      <c r="L25" s="11">
        <f t="shared" si="1"/>
        <v>52.29</v>
      </c>
      <c r="M25" s="11">
        <v>0</v>
      </c>
      <c r="N25" s="11">
        <v>0</v>
      </c>
      <c r="O25" s="11">
        <v>195.24</v>
      </c>
      <c r="P25" s="11">
        <v>0</v>
      </c>
      <c r="Q25" s="11" t="s">
        <v>181</v>
      </c>
      <c r="R25" s="11" t="s">
        <v>181</v>
      </c>
    </row>
    <row r="26" ht="27.6" spans="1:18">
      <c r="A26" s="6" t="s">
        <v>14</v>
      </c>
      <c r="B26" s="6" t="s">
        <v>105</v>
      </c>
      <c r="C26" s="6" t="s">
        <v>106</v>
      </c>
      <c r="D26" s="6">
        <v>1</v>
      </c>
      <c r="E26" s="6" t="s">
        <v>174</v>
      </c>
      <c r="F26" s="6" t="s">
        <v>194</v>
      </c>
      <c r="G26" s="6" t="s">
        <v>176</v>
      </c>
      <c r="H26" s="6" t="s">
        <v>177</v>
      </c>
      <c r="I26" s="11">
        <v>31.62</v>
      </c>
      <c r="J26" s="11">
        <f>ROUND(I26*Assumptions!$B$4,2)</f>
        <v>6.32</v>
      </c>
      <c r="K26" s="11">
        <f t="shared" si="0"/>
        <v>60.63</v>
      </c>
      <c r="L26" s="11">
        <f t="shared" si="1"/>
        <v>54.31</v>
      </c>
      <c r="M26" s="11">
        <v>0</v>
      </c>
      <c r="N26" s="11">
        <v>0</v>
      </c>
      <c r="O26" s="11">
        <v>31.62</v>
      </c>
      <c r="P26" s="11">
        <v>45.38</v>
      </c>
      <c r="Q26" s="11">
        <v>77</v>
      </c>
      <c r="R26" s="11">
        <v>87</v>
      </c>
    </row>
    <row r="27" ht="27.6" spans="1:18">
      <c r="A27" s="6" t="s">
        <v>14</v>
      </c>
      <c r="B27" s="6" t="s">
        <v>105</v>
      </c>
      <c r="C27" s="6" t="s">
        <v>106</v>
      </c>
      <c r="D27" s="6">
        <v>2</v>
      </c>
      <c r="E27" s="6" t="s">
        <v>194</v>
      </c>
      <c r="F27" s="6" t="s">
        <v>195</v>
      </c>
      <c r="G27" s="6" t="s">
        <v>177</v>
      </c>
      <c r="H27" s="6" t="s">
        <v>180</v>
      </c>
      <c r="I27" s="11">
        <v>17.26</v>
      </c>
      <c r="J27" s="11">
        <f>ROUND(I27*Assumptions!$B$4,2)</f>
        <v>3.45</v>
      </c>
      <c r="K27" s="11">
        <f t="shared" si="0"/>
        <v>54.31</v>
      </c>
      <c r="L27" s="11">
        <f t="shared" si="1"/>
        <v>50.86</v>
      </c>
      <c r="M27" s="11">
        <v>0</v>
      </c>
      <c r="N27" s="11">
        <v>0</v>
      </c>
      <c r="O27" s="11">
        <v>104.26</v>
      </c>
      <c r="P27" s="11">
        <v>0</v>
      </c>
      <c r="Q27" s="11" t="s">
        <v>181</v>
      </c>
      <c r="R27" s="11" t="s">
        <v>181</v>
      </c>
    </row>
    <row r="28" ht="27.6" spans="1:18">
      <c r="A28" s="6" t="s">
        <v>14</v>
      </c>
      <c r="B28" s="6" t="s">
        <v>105</v>
      </c>
      <c r="C28" s="6" t="s">
        <v>106</v>
      </c>
      <c r="D28" s="6">
        <v>3</v>
      </c>
      <c r="E28" s="6" t="s">
        <v>195</v>
      </c>
      <c r="F28" s="6" t="s">
        <v>196</v>
      </c>
      <c r="G28" s="6" t="s">
        <v>180</v>
      </c>
      <c r="H28" s="6" t="s">
        <v>177</v>
      </c>
      <c r="I28" s="11">
        <v>34.83</v>
      </c>
      <c r="J28" s="11">
        <f>ROUND(I28*Assumptions!$B$4,2)</f>
        <v>6.97</v>
      </c>
      <c r="K28" s="11">
        <f t="shared" si="0"/>
        <v>50.86</v>
      </c>
      <c r="L28" s="11">
        <f t="shared" si="1"/>
        <v>43.89</v>
      </c>
      <c r="M28" s="11">
        <v>0</v>
      </c>
      <c r="N28" s="11">
        <v>0</v>
      </c>
      <c r="O28" s="11">
        <v>157.75</v>
      </c>
      <c r="P28" s="11">
        <v>19.25</v>
      </c>
      <c r="Q28" s="11">
        <v>177</v>
      </c>
      <c r="R28" s="11">
        <v>187</v>
      </c>
    </row>
    <row r="29" ht="27.6" spans="1:18">
      <c r="A29" s="6" t="s">
        <v>14</v>
      </c>
      <c r="B29" s="6" t="s">
        <v>105</v>
      </c>
      <c r="C29" s="6" t="s">
        <v>106</v>
      </c>
      <c r="D29" s="6">
        <v>4</v>
      </c>
      <c r="E29" s="6" t="s">
        <v>196</v>
      </c>
      <c r="F29" s="6" t="s">
        <v>174</v>
      </c>
      <c r="G29" s="6" t="s">
        <v>177</v>
      </c>
      <c r="H29" s="6" t="s">
        <v>176</v>
      </c>
      <c r="I29" s="11">
        <v>15</v>
      </c>
      <c r="J29" s="11">
        <f>ROUND(I29*Assumptions!$B$4,2)</f>
        <v>3</v>
      </c>
      <c r="K29" s="11">
        <f t="shared" si="0"/>
        <v>43.89</v>
      </c>
      <c r="L29" s="11">
        <f t="shared" si="1"/>
        <v>40.89</v>
      </c>
      <c r="M29" s="11">
        <v>0</v>
      </c>
      <c r="N29" s="11">
        <v>0</v>
      </c>
      <c r="O29" s="11">
        <v>202</v>
      </c>
      <c r="P29" s="11">
        <v>0</v>
      </c>
      <c r="Q29" s="11" t="s">
        <v>181</v>
      </c>
      <c r="R29" s="11" t="s">
        <v>181</v>
      </c>
    </row>
    <row r="30" ht="27.6" spans="1:18">
      <c r="A30" s="6" t="s">
        <v>14</v>
      </c>
      <c r="B30" s="6" t="s">
        <v>111</v>
      </c>
      <c r="C30" s="6" t="s">
        <v>112</v>
      </c>
      <c r="D30" s="6">
        <v>1</v>
      </c>
      <c r="E30" s="6" t="s">
        <v>174</v>
      </c>
      <c r="F30" s="6" t="s">
        <v>197</v>
      </c>
      <c r="G30" s="6" t="s">
        <v>176</v>
      </c>
      <c r="H30" s="6" t="s">
        <v>180</v>
      </c>
      <c r="I30" s="11">
        <v>32.25</v>
      </c>
      <c r="J30" s="11">
        <f>ROUND(I30*Assumptions!$B$4,2)</f>
        <v>6.45</v>
      </c>
      <c r="K30" s="11">
        <f t="shared" si="0"/>
        <v>60.63</v>
      </c>
      <c r="L30" s="11">
        <f t="shared" si="1"/>
        <v>54.18</v>
      </c>
      <c r="M30" s="11">
        <v>0</v>
      </c>
      <c r="N30" s="11">
        <v>0</v>
      </c>
      <c r="O30" s="11">
        <v>32.25</v>
      </c>
      <c r="P30" s="11">
        <v>0</v>
      </c>
      <c r="Q30" s="11" t="s">
        <v>181</v>
      </c>
      <c r="R30" s="11" t="s">
        <v>181</v>
      </c>
    </row>
    <row r="31" ht="27.6" spans="1:18">
      <c r="A31" s="6" t="s">
        <v>14</v>
      </c>
      <c r="B31" s="6" t="s">
        <v>111</v>
      </c>
      <c r="C31" s="6" t="s">
        <v>112</v>
      </c>
      <c r="D31" s="6">
        <v>2</v>
      </c>
      <c r="E31" s="6" t="s">
        <v>197</v>
      </c>
      <c r="F31" s="6" t="s">
        <v>198</v>
      </c>
      <c r="G31" s="6" t="s">
        <v>180</v>
      </c>
      <c r="H31" s="6" t="s">
        <v>177</v>
      </c>
      <c r="I31" s="11">
        <v>4.47</v>
      </c>
      <c r="J31" s="11">
        <f>ROUND(I31*Assumptions!$B$4,2)</f>
        <v>0.89</v>
      </c>
      <c r="K31" s="11">
        <f t="shared" si="0"/>
        <v>54.18</v>
      </c>
      <c r="L31" s="11">
        <f t="shared" si="1"/>
        <v>53.29</v>
      </c>
      <c r="M31" s="11">
        <v>0</v>
      </c>
      <c r="N31" s="11">
        <v>0</v>
      </c>
      <c r="O31" s="11">
        <v>36.72</v>
      </c>
      <c r="P31" s="11">
        <v>60.28</v>
      </c>
      <c r="Q31" s="11">
        <v>97</v>
      </c>
      <c r="R31" s="11">
        <v>107</v>
      </c>
    </row>
    <row r="32" ht="27.6" spans="1:18">
      <c r="A32" s="6" t="s">
        <v>14</v>
      </c>
      <c r="B32" s="6" t="s">
        <v>111</v>
      </c>
      <c r="C32" s="6" t="s">
        <v>112</v>
      </c>
      <c r="D32" s="6">
        <v>3</v>
      </c>
      <c r="E32" s="6" t="s">
        <v>198</v>
      </c>
      <c r="F32" s="6" t="s">
        <v>199</v>
      </c>
      <c r="G32" s="6" t="s">
        <v>177</v>
      </c>
      <c r="H32" s="6" t="s">
        <v>177</v>
      </c>
      <c r="I32" s="11">
        <v>12</v>
      </c>
      <c r="J32" s="11">
        <f>ROUND(I32*Assumptions!$B$4,2)</f>
        <v>2.4</v>
      </c>
      <c r="K32" s="11">
        <f t="shared" si="0"/>
        <v>53.29</v>
      </c>
      <c r="L32" s="11">
        <f t="shared" si="1"/>
        <v>50.89</v>
      </c>
      <c r="M32" s="11">
        <v>0</v>
      </c>
      <c r="N32" s="11">
        <v>0</v>
      </c>
      <c r="O32" s="11">
        <v>119</v>
      </c>
      <c r="P32" s="11">
        <v>0</v>
      </c>
      <c r="Q32" s="11">
        <v>119</v>
      </c>
      <c r="R32" s="11">
        <v>129</v>
      </c>
    </row>
    <row r="33" ht="27.6" spans="1:18">
      <c r="A33" s="6" t="s">
        <v>14</v>
      </c>
      <c r="B33" s="6" t="s">
        <v>111</v>
      </c>
      <c r="C33" s="6" t="s">
        <v>112</v>
      </c>
      <c r="D33" s="6">
        <v>4</v>
      </c>
      <c r="E33" s="6" t="s">
        <v>199</v>
      </c>
      <c r="F33" s="6" t="s">
        <v>200</v>
      </c>
      <c r="G33" s="6" t="s">
        <v>177</v>
      </c>
      <c r="H33" s="6" t="s">
        <v>180</v>
      </c>
      <c r="I33" s="11">
        <v>8.06</v>
      </c>
      <c r="J33" s="11">
        <f>ROUND(I33*Assumptions!$B$4,2)</f>
        <v>1.61</v>
      </c>
      <c r="K33" s="11">
        <f t="shared" si="0"/>
        <v>50.89</v>
      </c>
      <c r="L33" s="11">
        <f t="shared" si="1"/>
        <v>49.28</v>
      </c>
      <c r="M33" s="11">
        <v>0</v>
      </c>
      <c r="N33" s="11">
        <v>0</v>
      </c>
      <c r="O33" s="11">
        <v>137.06</v>
      </c>
      <c r="P33" s="11">
        <v>0</v>
      </c>
      <c r="Q33" s="11" t="s">
        <v>181</v>
      </c>
      <c r="R33" s="11" t="s">
        <v>181</v>
      </c>
    </row>
    <row r="34" ht="27.6" spans="1:18">
      <c r="A34" s="6" t="s">
        <v>14</v>
      </c>
      <c r="B34" s="6" t="s">
        <v>111</v>
      </c>
      <c r="C34" s="6" t="s">
        <v>112</v>
      </c>
      <c r="D34" s="6">
        <v>5</v>
      </c>
      <c r="E34" s="6" t="s">
        <v>200</v>
      </c>
      <c r="F34" s="6" t="s">
        <v>174</v>
      </c>
      <c r="G34" s="6" t="s">
        <v>180</v>
      </c>
      <c r="H34" s="6" t="s">
        <v>176</v>
      </c>
      <c r="I34" s="11">
        <v>36.24</v>
      </c>
      <c r="J34" s="11">
        <f>ROUND(I34*Assumptions!$B$4,2)</f>
        <v>7.25</v>
      </c>
      <c r="K34" s="11">
        <f t="shared" si="0"/>
        <v>49.28</v>
      </c>
      <c r="L34" s="11">
        <f t="shared" si="1"/>
        <v>42.03</v>
      </c>
      <c r="M34" s="11">
        <v>0</v>
      </c>
      <c r="N34" s="11">
        <v>0</v>
      </c>
      <c r="O34" s="11">
        <v>189.17</v>
      </c>
      <c r="P34" s="11">
        <v>0</v>
      </c>
      <c r="Q34" s="11" t="s">
        <v>181</v>
      </c>
      <c r="R34" s="11" t="s">
        <v>181</v>
      </c>
    </row>
    <row r="35" ht="27.6" spans="1:18">
      <c r="A35" s="6" t="s">
        <v>14</v>
      </c>
      <c r="B35" s="6" t="s">
        <v>117</v>
      </c>
      <c r="C35" s="6" t="s">
        <v>118</v>
      </c>
      <c r="D35" s="6">
        <v>1</v>
      </c>
      <c r="E35" s="6" t="s">
        <v>174</v>
      </c>
      <c r="F35" s="6" t="s">
        <v>201</v>
      </c>
      <c r="G35" s="6" t="s">
        <v>176</v>
      </c>
      <c r="H35" s="6" t="s">
        <v>177</v>
      </c>
      <c r="I35" s="11">
        <v>17.49</v>
      </c>
      <c r="J35" s="11">
        <f>ROUND(I35*Assumptions!$B$4,2)</f>
        <v>3.5</v>
      </c>
      <c r="K35" s="11">
        <f t="shared" si="0"/>
        <v>60.63</v>
      </c>
      <c r="L35" s="11">
        <f t="shared" si="1"/>
        <v>57.13</v>
      </c>
      <c r="M35" s="11">
        <v>0</v>
      </c>
      <c r="N35" s="11">
        <v>0</v>
      </c>
      <c r="O35" s="11">
        <v>17.49</v>
      </c>
      <c r="P35" s="11">
        <v>120.51</v>
      </c>
      <c r="Q35" s="11">
        <v>138</v>
      </c>
      <c r="R35" s="11">
        <v>148</v>
      </c>
    </row>
    <row r="36" ht="27.6" spans="1:18">
      <c r="A36" s="6" t="s">
        <v>14</v>
      </c>
      <c r="B36" s="6" t="s">
        <v>117</v>
      </c>
      <c r="C36" s="6" t="s">
        <v>118</v>
      </c>
      <c r="D36" s="6">
        <v>2</v>
      </c>
      <c r="E36" s="6" t="s">
        <v>201</v>
      </c>
      <c r="F36" s="6" t="s">
        <v>202</v>
      </c>
      <c r="G36" s="6" t="s">
        <v>177</v>
      </c>
      <c r="H36" s="6" t="s">
        <v>177</v>
      </c>
      <c r="I36" s="11">
        <v>8.54</v>
      </c>
      <c r="J36" s="11">
        <f>ROUND(I36*Assumptions!$B$4,2)</f>
        <v>1.71</v>
      </c>
      <c r="K36" s="11">
        <f t="shared" si="0"/>
        <v>57.13</v>
      </c>
      <c r="L36" s="11">
        <f t="shared" si="1"/>
        <v>55.42</v>
      </c>
      <c r="M36" s="11">
        <v>0</v>
      </c>
      <c r="N36" s="11">
        <v>0</v>
      </c>
      <c r="O36" s="11">
        <v>156.54</v>
      </c>
      <c r="P36" s="11">
        <v>0</v>
      </c>
      <c r="Q36" s="11">
        <v>156.54</v>
      </c>
      <c r="R36" s="11">
        <v>166.54</v>
      </c>
    </row>
    <row r="37" ht="27.6" spans="1:18">
      <c r="A37" s="6" t="s">
        <v>14</v>
      </c>
      <c r="B37" s="6" t="s">
        <v>117</v>
      </c>
      <c r="C37" s="6" t="s">
        <v>118</v>
      </c>
      <c r="D37" s="6">
        <v>3</v>
      </c>
      <c r="E37" s="6" t="s">
        <v>202</v>
      </c>
      <c r="F37" s="6" t="s">
        <v>174</v>
      </c>
      <c r="G37" s="6" t="s">
        <v>177</v>
      </c>
      <c r="H37" s="6" t="s">
        <v>176</v>
      </c>
      <c r="I37" s="11">
        <v>18.03</v>
      </c>
      <c r="J37" s="11">
        <f>ROUND(I37*Assumptions!$B$4,2)</f>
        <v>3.61</v>
      </c>
      <c r="K37" s="11">
        <f t="shared" si="0"/>
        <v>55.42</v>
      </c>
      <c r="L37" s="11">
        <f t="shared" si="1"/>
        <v>51.81</v>
      </c>
      <c r="M37" s="11">
        <v>0</v>
      </c>
      <c r="N37" s="11">
        <v>0</v>
      </c>
      <c r="O37" s="11">
        <v>184.57</v>
      </c>
      <c r="P37" s="11">
        <v>0</v>
      </c>
      <c r="Q37" s="11" t="s">
        <v>181</v>
      </c>
      <c r="R37" s="11" t="s">
        <v>181</v>
      </c>
    </row>
    <row r="38" ht="27.6" spans="1:18">
      <c r="A38" s="6" t="s">
        <v>14</v>
      </c>
      <c r="B38" s="6" t="s">
        <v>123</v>
      </c>
      <c r="C38" s="6" t="s">
        <v>124</v>
      </c>
      <c r="D38" s="6">
        <v>1</v>
      </c>
      <c r="E38" s="6" t="s">
        <v>174</v>
      </c>
      <c r="F38" s="6" t="s">
        <v>203</v>
      </c>
      <c r="G38" s="6" t="s">
        <v>176</v>
      </c>
      <c r="H38" s="6" t="s">
        <v>177</v>
      </c>
      <c r="I38" s="11">
        <v>18.03</v>
      </c>
      <c r="J38" s="11">
        <f>ROUND(I38*Assumptions!$B$4,2)</f>
        <v>3.61</v>
      </c>
      <c r="K38" s="11">
        <f t="shared" si="0"/>
        <v>60.63</v>
      </c>
      <c r="L38" s="11">
        <f t="shared" si="1"/>
        <v>57.02</v>
      </c>
      <c r="M38" s="11">
        <v>0</v>
      </c>
      <c r="N38" s="11">
        <v>0</v>
      </c>
      <c r="O38" s="11">
        <v>18.03</v>
      </c>
      <c r="P38" s="11">
        <v>0</v>
      </c>
      <c r="Q38" s="11">
        <v>18.03</v>
      </c>
      <c r="R38" s="11">
        <v>28.03</v>
      </c>
    </row>
    <row r="39" ht="27.6" spans="1:18">
      <c r="A39" s="6" t="s">
        <v>14</v>
      </c>
      <c r="B39" s="6" t="s">
        <v>123</v>
      </c>
      <c r="C39" s="6" t="s">
        <v>124</v>
      </c>
      <c r="D39" s="6">
        <v>2</v>
      </c>
      <c r="E39" s="6" t="s">
        <v>203</v>
      </c>
      <c r="F39" s="6" t="s">
        <v>197</v>
      </c>
      <c r="G39" s="6" t="s">
        <v>177</v>
      </c>
      <c r="H39" s="6" t="s">
        <v>180</v>
      </c>
      <c r="I39" s="11">
        <v>14.32</v>
      </c>
      <c r="J39" s="11">
        <f>ROUND(I39*Assumptions!$B$4,2)</f>
        <v>2.86</v>
      </c>
      <c r="K39" s="11">
        <f t="shared" si="0"/>
        <v>57.02</v>
      </c>
      <c r="L39" s="11">
        <f t="shared" si="1"/>
        <v>54.16</v>
      </c>
      <c r="M39" s="11">
        <v>0</v>
      </c>
      <c r="N39" s="11">
        <v>0</v>
      </c>
      <c r="O39" s="11">
        <v>42.35</v>
      </c>
      <c r="P39" s="11">
        <v>0</v>
      </c>
      <c r="Q39" s="11" t="s">
        <v>181</v>
      </c>
      <c r="R39" s="11" t="s">
        <v>181</v>
      </c>
    </row>
    <row r="40" ht="27.6" spans="1:18">
      <c r="A40" s="6" t="s">
        <v>14</v>
      </c>
      <c r="B40" s="6" t="s">
        <v>123</v>
      </c>
      <c r="C40" s="6" t="s">
        <v>124</v>
      </c>
      <c r="D40" s="6">
        <v>3</v>
      </c>
      <c r="E40" s="6" t="s">
        <v>197</v>
      </c>
      <c r="F40" s="6" t="s">
        <v>204</v>
      </c>
      <c r="G40" s="6" t="s">
        <v>180</v>
      </c>
      <c r="H40" s="6" t="s">
        <v>177</v>
      </c>
      <c r="I40" s="11">
        <v>36.06</v>
      </c>
      <c r="J40" s="11">
        <f>ROUND(I40*Assumptions!$B$4,2)</f>
        <v>7.21</v>
      </c>
      <c r="K40" s="11">
        <f t="shared" si="0"/>
        <v>54.16</v>
      </c>
      <c r="L40" s="11">
        <f t="shared" si="1"/>
        <v>46.95</v>
      </c>
      <c r="M40" s="11">
        <v>0</v>
      </c>
      <c r="N40" s="11">
        <v>0</v>
      </c>
      <c r="O40" s="11">
        <v>91.86</v>
      </c>
      <c r="P40" s="11">
        <v>58.14</v>
      </c>
      <c r="Q40" s="11">
        <v>150</v>
      </c>
      <c r="R40" s="11">
        <v>160</v>
      </c>
    </row>
    <row r="41" ht="27.6" spans="1:18">
      <c r="A41" s="6" t="s">
        <v>14</v>
      </c>
      <c r="B41" s="6" t="s">
        <v>123</v>
      </c>
      <c r="C41" s="6" t="s">
        <v>124</v>
      </c>
      <c r="D41" s="6">
        <v>4</v>
      </c>
      <c r="E41" s="6" t="s">
        <v>204</v>
      </c>
      <c r="F41" s="6" t="s">
        <v>174</v>
      </c>
      <c r="G41" s="6" t="s">
        <v>177</v>
      </c>
      <c r="H41" s="6" t="s">
        <v>176</v>
      </c>
      <c r="I41" s="11">
        <v>19.7</v>
      </c>
      <c r="J41" s="11">
        <f>ROUND(I41*Assumptions!$B$4,2)</f>
        <v>3.94</v>
      </c>
      <c r="K41" s="11">
        <f t="shared" si="0"/>
        <v>46.95</v>
      </c>
      <c r="L41" s="11">
        <f t="shared" si="1"/>
        <v>43.01</v>
      </c>
      <c r="M41" s="11">
        <v>0</v>
      </c>
      <c r="N41" s="11">
        <v>0</v>
      </c>
      <c r="O41" s="11">
        <v>179.7</v>
      </c>
      <c r="P41" s="11">
        <v>0</v>
      </c>
      <c r="Q41" s="11" t="s">
        <v>181</v>
      </c>
      <c r="R41" s="11" t="s">
        <v>181</v>
      </c>
    </row>
    <row r="42" ht="27.6" spans="1:18">
      <c r="A42" s="6" t="s">
        <v>16</v>
      </c>
      <c r="B42" s="6" t="s">
        <v>128</v>
      </c>
      <c r="C42" s="6" t="s">
        <v>129</v>
      </c>
      <c r="D42" s="6">
        <v>1</v>
      </c>
      <c r="E42" s="6" t="s">
        <v>174</v>
      </c>
      <c r="F42" s="6" t="s">
        <v>205</v>
      </c>
      <c r="G42" s="6" t="s">
        <v>176</v>
      </c>
      <c r="H42" s="6" t="s">
        <v>177</v>
      </c>
      <c r="I42" s="11">
        <v>26.93</v>
      </c>
      <c r="J42" s="11">
        <f>ROUND(I42*Assumptions!$B$4,2)</f>
        <v>5.39</v>
      </c>
      <c r="K42" s="11">
        <f t="shared" si="0"/>
        <v>77.75</v>
      </c>
      <c r="L42" s="11">
        <f t="shared" si="1"/>
        <v>72.36</v>
      </c>
      <c r="M42" s="11">
        <v>0</v>
      </c>
      <c r="N42" s="11">
        <v>0</v>
      </c>
      <c r="O42" s="11">
        <v>26.93</v>
      </c>
      <c r="P42" s="11">
        <v>0.07</v>
      </c>
      <c r="Q42" s="11">
        <v>27</v>
      </c>
      <c r="R42" s="11">
        <v>37</v>
      </c>
    </row>
    <row r="43" ht="27.6" spans="1:18">
      <c r="A43" s="6" t="s">
        <v>16</v>
      </c>
      <c r="B43" s="6" t="s">
        <v>128</v>
      </c>
      <c r="C43" s="6" t="s">
        <v>129</v>
      </c>
      <c r="D43" s="6">
        <v>2</v>
      </c>
      <c r="E43" s="6" t="s">
        <v>205</v>
      </c>
      <c r="F43" s="6" t="s">
        <v>206</v>
      </c>
      <c r="G43" s="6" t="s">
        <v>177</v>
      </c>
      <c r="H43" s="6" t="s">
        <v>177</v>
      </c>
      <c r="I43" s="11">
        <v>17.69</v>
      </c>
      <c r="J43" s="11">
        <f>ROUND(I43*Assumptions!$B$4,2)</f>
        <v>3.54</v>
      </c>
      <c r="K43" s="11">
        <f t="shared" si="0"/>
        <v>72.36</v>
      </c>
      <c r="L43" s="11">
        <f t="shared" si="1"/>
        <v>68.82</v>
      </c>
      <c r="M43" s="11">
        <v>0</v>
      </c>
      <c r="N43" s="11">
        <v>0</v>
      </c>
      <c r="O43" s="11">
        <v>54.69</v>
      </c>
      <c r="P43" s="11">
        <v>30.31</v>
      </c>
      <c r="Q43" s="11">
        <v>85</v>
      </c>
      <c r="R43" s="11">
        <v>95</v>
      </c>
    </row>
    <row r="44" ht="27.6" spans="1:18">
      <c r="A44" s="6" t="s">
        <v>16</v>
      </c>
      <c r="B44" s="6" t="s">
        <v>128</v>
      </c>
      <c r="C44" s="6" t="s">
        <v>129</v>
      </c>
      <c r="D44" s="6">
        <v>3</v>
      </c>
      <c r="E44" s="6" t="s">
        <v>206</v>
      </c>
      <c r="F44" s="6" t="s">
        <v>207</v>
      </c>
      <c r="G44" s="6" t="s">
        <v>177</v>
      </c>
      <c r="H44" s="6" t="s">
        <v>180</v>
      </c>
      <c r="I44" s="11">
        <v>14.32</v>
      </c>
      <c r="J44" s="11">
        <f>ROUND(I44*Assumptions!$B$4,2)</f>
        <v>2.86</v>
      </c>
      <c r="K44" s="11">
        <f t="shared" si="0"/>
        <v>68.82</v>
      </c>
      <c r="L44" s="11">
        <f t="shared" si="1"/>
        <v>65.96</v>
      </c>
      <c r="M44" s="11">
        <v>0</v>
      </c>
      <c r="N44" s="11">
        <v>0</v>
      </c>
      <c r="O44" s="11">
        <v>109.32</v>
      </c>
      <c r="P44" s="11">
        <v>0</v>
      </c>
      <c r="Q44" s="11" t="s">
        <v>181</v>
      </c>
      <c r="R44" s="11" t="s">
        <v>181</v>
      </c>
    </row>
    <row r="45" ht="27.6" spans="1:18">
      <c r="A45" s="6" t="s">
        <v>16</v>
      </c>
      <c r="B45" s="6" t="s">
        <v>128</v>
      </c>
      <c r="C45" s="6" t="s">
        <v>129</v>
      </c>
      <c r="D45" s="6">
        <v>4</v>
      </c>
      <c r="E45" s="6" t="s">
        <v>207</v>
      </c>
      <c r="F45" s="6" t="s">
        <v>208</v>
      </c>
      <c r="G45" s="6" t="s">
        <v>180</v>
      </c>
      <c r="H45" s="6" t="s">
        <v>177</v>
      </c>
      <c r="I45" s="11">
        <v>22.02</v>
      </c>
      <c r="J45" s="11">
        <f>ROUND(I45*Assumptions!$B$4,2)</f>
        <v>4.4</v>
      </c>
      <c r="K45" s="11">
        <f t="shared" si="0"/>
        <v>65.96</v>
      </c>
      <c r="L45" s="11">
        <f t="shared" si="1"/>
        <v>61.56</v>
      </c>
      <c r="M45" s="11">
        <v>0</v>
      </c>
      <c r="N45" s="11">
        <v>0</v>
      </c>
      <c r="O45" s="11">
        <v>146.3</v>
      </c>
      <c r="P45" s="11">
        <v>0</v>
      </c>
      <c r="Q45" s="11">
        <v>146.3</v>
      </c>
      <c r="R45" s="11">
        <v>156.3</v>
      </c>
    </row>
    <row r="46" ht="27.6" spans="1:18">
      <c r="A46" s="6" t="s">
        <v>16</v>
      </c>
      <c r="B46" s="6" t="s">
        <v>128</v>
      </c>
      <c r="C46" s="6" t="s">
        <v>129</v>
      </c>
      <c r="D46" s="6">
        <v>5</v>
      </c>
      <c r="E46" s="6" t="s">
        <v>208</v>
      </c>
      <c r="F46" s="6" t="s">
        <v>189</v>
      </c>
      <c r="G46" s="6" t="s">
        <v>177</v>
      </c>
      <c r="H46" s="6" t="s">
        <v>177</v>
      </c>
      <c r="I46" s="11">
        <v>17.12</v>
      </c>
      <c r="J46" s="11">
        <f>ROUND(I46*Assumptions!$B$4,2)</f>
        <v>3.42</v>
      </c>
      <c r="K46" s="11">
        <f t="shared" si="0"/>
        <v>61.56</v>
      </c>
      <c r="L46" s="11">
        <f t="shared" si="1"/>
        <v>58.14</v>
      </c>
      <c r="M46" s="11">
        <v>0</v>
      </c>
      <c r="N46" s="11">
        <v>0</v>
      </c>
      <c r="O46" s="11">
        <v>173.42</v>
      </c>
      <c r="P46" s="11">
        <v>0</v>
      </c>
      <c r="Q46" s="11">
        <v>173.42</v>
      </c>
      <c r="R46" s="11">
        <v>183.42</v>
      </c>
    </row>
    <row r="47" ht="27.6" spans="1:18">
      <c r="A47" s="6" t="s">
        <v>16</v>
      </c>
      <c r="B47" s="6" t="s">
        <v>128</v>
      </c>
      <c r="C47" s="6" t="s">
        <v>129</v>
      </c>
      <c r="D47" s="6">
        <v>6</v>
      </c>
      <c r="E47" s="6" t="s">
        <v>189</v>
      </c>
      <c r="F47" s="6" t="s">
        <v>174</v>
      </c>
      <c r="G47" s="6" t="s">
        <v>177</v>
      </c>
      <c r="H47" s="6" t="s">
        <v>176</v>
      </c>
      <c r="I47" s="11">
        <v>18.03</v>
      </c>
      <c r="J47" s="11">
        <f>ROUND(I47*Assumptions!$B$4,2)</f>
        <v>3.61</v>
      </c>
      <c r="K47" s="11">
        <f t="shared" si="0"/>
        <v>58.14</v>
      </c>
      <c r="L47" s="11">
        <f t="shared" si="1"/>
        <v>54.53</v>
      </c>
      <c r="M47" s="11">
        <v>0</v>
      </c>
      <c r="N47" s="11">
        <v>0</v>
      </c>
      <c r="O47" s="11">
        <v>201.44</v>
      </c>
      <c r="P47" s="11">
        <v>0</v>
      </c>
      <c r="Q47" s="11" t="s">
        <v>181</v>
      </c>
      <c r="R47" s="11" t="s">
        <v>181</v>
      </c>
    </row>
    <row r="48" ht="27.6" spans="1:18">
      <c r="A48" s="6" t="s">
        <v>16</v>
      </c>
      <c r="B48" s="6" t="s">
        <v>133</v>
      </c>
      <c r="C48" s="6" t="s">
        <v>134</v>
      </c>
      <c r="D48" s="6">
        <v>1</v>
      </c>
      <c r="E48" s="6" t="s">
        <v>174</v>
      </c>
      <c r="F48" s="6" t="s">
        <v>209</v>
      </c>
      <c r="G48" s="6" t="s">
        <v>176</v>
      </c>
      <c r="H48" s="6" t="s">
        <v>177</v>
      </c>
      <c r="I48" s="11">
        <v>35.34</v>
      </c>
      <c r="J48" s="11">
        <f>ROUND(I48*Assumptions!$B$4,2)</f>
        <v>7.07</v>
      </c>
      <c r="K48" s="11">
        <f t="shared" si="0"/>
        <v>77.75</v>
      </c>
      <c r="L48" s="11">
        <f t="shared" si="1"/>
        <v>70.68</v>
      </c>
      <c r="M48" s="11">
        <v>0</v>
      </c>
      <c r="N48" s="11">
        <v>0</v>
      </c>
      <c r="O48" s="11">
        <v>35.34</v>
      </c>
      <c r="P48" s="11">
        <v>0.66</v>
      </c>
      <c r="Q48" s="11">
        <v>36</v>
      </c>
      <c r="R48" s="11">
        <v>46</v>
      </c>
    </row>
    <row r="49" ht="27.6" spans="1:18">
      <c r="A49" s="6" t="s">
        <v>16</v>
      </c>
      <c r="B49" s="6" t="s">
        <v>133</v>
      </c>
      <c r="C49" s="6" t="s">
        <v>134</v>
      </c>
      <c r="D49" s="6">
        <v>2</v>
      </c>
      <c r="E49" s="6" t="s">
        <v>209</v>
      </c>
      <c r="F49" s="6" t="s">
        <v>174</v>
      </c>
      <c r="G49" s="6" t="s">
        <v>177</v>
      </c>
      <c r="H49" s="6" t="s">
        <v>176</v>
      </c>
      <c r="I49" s="11">
        <v>35.34</v>
      </c>
      <c r="J49" s="11">
        <f>ROUND(I49*Assumptions!$B$4,2)</f>
        <v>7.07</v>
      </c>
      <c r="K49" s="11">
        <f t="shared" si="0"/>
        <v>70.68</v>
      </c>
      <c r="L49" s="11">
        <f t="shared" si="1"/>
        <v>63.61</v>
      </c>
      <c r="M49" s="11">
        <v>0</v>
      </c>
      <c r="N49" s="11">
        <v>0</v>
      </c>
      <c r="O49" s="11">
        <v>81.34</v>
      </c>
      <c r="P49" s="11">
        <v>0</v>
      </c>
      <c r="Q49" s="11" t="s">
        <v>181</v>
      </c>
      <c r="R49" s="11" t="s">
        <v>181</v>
      </c>
    </row>
    <row r="50" ht="27.6" spans="1:18">
      <c r="A50" s="6" t="s">
        <v>16</v>
      </c>
      <c r="B50" s="6" t="s">
        <v>139</v>
      </c>
      <c r="C50" s="6" t="s">
        <v>140</v>
      </c>
      <c r="D50" s="6">
        <v>1</v>
      </c>
      <c r="E50" s="6" t="s">
        <v>174</v>
      </c>
      <c r="F50" s="6" t="s">
        <v>210</v>
      </c>
      <c r="G50" s="6" t="s">
        <v>176</v>
      </c>
      <c r="H50" s="6" t="s">
        <v>177</v>
      </c>
      <c r="I50" s="11">
        <v>37.74</v>
      </c>
      <c r="J50" s="11">
        <f>ROUND(I50*Assumptions!$B$4,2)</f>
        <v>7.55</v>
      </c>
      <c r="K50" s="11">
        <f t="shared" si="0"/>
        <v>77.75</v>
      </c>
      <c r="L50" s="11">
        <f t="shared" si="1"/>
        <v>70.2</v>
      </c>
      <c r="M50" s="11">
        <v>0</v>
      </c>
      <c r="N50" s="11">
        <v>0</v>
      </c>
      <c r="O50" s="11">
        <v>37.74</v>
      </c>
      <c r="P50" s="11">
        <v>15.26</v>
      </c>
      <c r="Q50" s="11">
        <v>53</v>
      </c>
      <c r="R50" s="11">
        <v>63</v>
      </c>
    </row>
    <row r="51" ht="27.6" spans="1:18">
      <c r="A51" s="6" t="s">
        <v>16</v>
      </c>
      <c r="B51" s="6" t="s">
        <v>139</v>
      </c>
      <c r="C51" s="6" t="s">
        <v>140</v>
      </c>
      <c r="D51" s="6">
        <v>2</v>
      </c>
      <c r="E51" s="6" t="s">
        <v>210</v>
      </c>
      <c r="F51" s="6" t="s">
        <v>174</v>
      </c>
      <c r="G51" s="6" t="s">
        <v>177</v>
      </c>
      <c r="H51" s="6" t="s">
        <v>176</v>
      </c>
      <c r="I51" s="11">
        <v>37.74</v>
      </c>
      <c r="J51" s="11">
        <f>ROUND(I51*Assumptions!$B$4,2)</f>
        <v>7.55</v>
      </c>
      <c r="K51" s="11">
        <f t="shared" si="0"/>
        <v>70.2</v>
      </c>
      <c r="L51" s="11">
        <f t="shared" si="1"/>
        <v>62.65</v>
      </c>
      <c r="M51" s="11">
        <v>0</v>
      </c>
      <c r="N51" s="11">
        <v>0</v>
      </c>
      <c r="O51" s="11">
        <v>100.74</v>
      </c>
      <c r="P51" s="11">
        <v>0</v>
      </c>
      <c r="Q51" s="11" t="s">
        <v>181</v>
      </c>
      <c r="R51" s="11" t="s">
        <v>181</v>
      </c>
    </row>
    <row r="52" ht="27.6" spans="1:18">
      <c r="A52" s="6" t="s">
        <v>16</v>
      </c>
      <c r="B52" s="6" t="s">
        <v>144</v>
      </c>
      <c r="C52" s="6" t="s">
        <v>145</v>
      </c>
      <c r="D52" s="6">
        <v>1</v>
      </c>
      <c r="E52" s="6" t="s">
        <v>174</v>
      </c>
      <c r="F52" s="6" t="s">
        <v>211</v>
      </c>
      <c r="G52" s="6" t="s">
        <v>176</v>
      </c>
      <c r="H52" s="6" t="s">
        <v>177</v>
      </c>
      <c r="I52" s="11">
        <v>33.53</v>
      </c>
      <c r="J52" s="11">
        <f>ROUND(I52*Assumptions!$B$4,2)</f>
        <v>6.71</v>
      </c>
      <c r="K52" s="11">
        <f t="shared" si="0"/>
        <v>77.75</v>
      </c>
      <c r="L52" s="11">
        <f t="shared" si="1"/>
        <v>71.04</v>
      </c>
      <c r="M52" s="11">
        <v>0</v>
      </c>
      <c r="N52" s="11">
        <v>0</v>
      </c>
      <c r="O52" s="11">
        <v>33.53</v>
      </c>
      <c r="P52" s="11">
        <v>52.47</v>
      </c>
      <c r="Q52" s="11">
        <v>86</v>
      </c>
      <c r="R52" s="11">
        <v>96</v>
      </c>
    </row>
    <row r="53" ht="27.6" spans="1:18">
      <c r="A53" s="6" t="s">
        <v>16</v>
      </c>
      <c r="B53" s="6" t="s">
        <v>144</v>
      </c>
      <c r="C53" s="6" t="s">
        <v>145</v>
      </c>
      <c r="D53" s="6">
        <v>2</v>
      </c>
      <c r="E53" s="6" t="s">
        <v>211</v>
      </c>
      <c r="F53" s="6" t="s">
        <v>212</v>
      </c>
      <c r="G53" s="6" t="s">
        <v>177</v>
      </c>
      <c r="H53" s="6" t="s">
        <v>177</v>
      </c>
      <c r="I53" s="11">
        <v>15.62</v>
      </c>
      <c r="J53" s="11">
        <f>ROUND(I53*Assumptions!$B$4,2)</f>
        <v>3.12</v>
      </c>
      <c r="K53" s="11">
        <f t="shared" si="0"/>
        <v>71.04</v>
      </c>
      <c r="L53" s="11">
        <f t="shared" si="1"/>
        <v>67.92</v>
      </c>
      <c r="M53" s="11">
        <v>0</v>
      </c>
      <c r="N53" s="11">
        <v>0</v>
      </c>
      <c r="O53" s="11">
        <v>111.62</v>
      </c>
      <c r="P53" s="11">
        <v>0</v>
      </c>
      <c r="Q53" s="11">
        <v>111.62</v>
      </c>
      <c r="R53" s="11">
        <v>121.62</v>
      </c>
    </row>
    <row r="54" ht="27.6" spans="1:18">
      <c r="A54" s="6" t="s">
        <v>16</v>
      </c>
      <c r="B54" s="6" t="s">
        <v>144</v>
      </c>
      <c r="C54" s="6" t="s">
        <v>145</v>
      </c>
      <c r="D54" s="6">
        <v>3</v>
      </c>
      <c r="E54" s="6" t="s">
        <v>212</v>
      </c>
      <c r="F54" s="6" t="s">
        <v>174</v>
      </c>
      <c r="G54" s="6" t="s">
        <v>177</v>
      </c>
      <c r="H54" s="6" t="s">
        <v>176</v>
      </c>
      <c r="I54" s="11">
        <v>20</v>
      </c>
      <c r="J54" s="11">
        <f>ROUND(I54*Assumptions!$B$4,2)</f>
        <v>4</v>
      </c>
      <c r="K54" s="11">
        <f t="shared" si="0"/>
        <v>67.92</v>
      </c>
      <c r="L54" s="11">
        <f t="shared" si="1"/>
        <v>63.92</v>
      </c>
      <c r="M54" s="11">
        <v>0</v>
      </c>
      <c r="N54" s="11">
        <v>0</v>
      </c>
      <c r="O54" s="11">
        <v>141.62</v>
      </c>
      <c r="P54" s="11">
        <v>0</v>
      </c>
      <c r="Q54" s="11" t="s">
        <v>181</v>
      </c>
      <c r="R54" s="11" t="s">
        <v>181</v>
      </c>
    </row>
    <row r="55" ht="27.6" spans="1:18">
      <c r="A55" s="6" t="s">
        <v>16</v>
      </c>
      <c r="B55" s="6" t="s">
        <v>149</v>
      </c>
      <c r="C55" s="6" t="s">
        <v>150</v>
      </c>
      <c r="D55" s="6">
        <v>1</v>
      </c>
      <c r="E55" s="6" t="s">
        <v>174</v>
      </c>
      <c r="F55" s="6" t="s">
        <v>213</v>
      </c>
      <c r="G55" s="6" t="s">
        <v>176</v>
      </c>
      <c r="H55" s="6" t="s">
        <v>177</v>
      </c>
      <c r="I55" s="11">
        <v>58.52</v>
      </c>
      <c r="J55" s="11">
        <f>ROUND(I55*Assumptions!$B$4,2)</f>
        <v>11.7</v>
      </c>
      <c r="K55" s="11">
        <f t="shared" si="0"/>
        <v>77.75</v>
      </c>
      <c r="L55" s="11">
        <f t="shared" si="1"/>
        <v>66.05</v>
      </c>
      <c r="M55" s="11">
        <v>0</v>
      </c>
      <c r="N55" s="11">
        <v>0</v>
      </c>
      <c r="O55" s="11">
        <v>58.52</v>
      </c>
      <c r="P55" s="11">
        <v>62.48</v>
      </c>
      <c r="Q55" s="11">
        <v>121</v>
      </c>
      <c r="R55" s="11">
        <v>131</v>
      </c>
    </row>
    <row r="56" ht="27.6" spans="1:18">
      <c r="A56" s="6" t="s">
        <v>16</v>
      </c>
      <c r="B56" s="6" t="s">
        <v>149</v>
      </c>
      <c r="C56" s="6" t="s">
        <v>150</v>
      </c>
      <c r="D56" s="6">
        <v>2</v>
      </c>
      <c r="E56" s="6" t="s">
        <v>213</v>
      </c>
      <c r="F56" s="6" t="s">
        <v>214</v>
      </c>
      <c r="G56" s="6" t="s">
        <v>177</v>
      </c>
      <c r="H56" s="6" t="s">
        <v>180</v>
      </c>
      <c r="I56" s="11">
        <v>18</v>
      </c>
      <c r="J56" s="11">
        <f>ROUND(I56*Assumptions!$B$4,2)</f>
        <v>3.6</v>
      </c>
      <c r="K56" s="11">
        <f t="shared" si="0"/>
        <v>66.05</v>
      </c>
      <c r="L56" s="11">
        <f t="shared" si="1"/>
        <v>62.45</v>
      </c>
      <c r="M56" s="11">
        <v>0</v>
      </c>
      <c r="N56" s="11">
        <v>0</v>
      </c>
      <c r="O56" s="11">
        <v>149</v>
      </c>
      <c r="P56" s="11">
        <v>0</v>
      </c>
      <c r="Q56" s="11" t="s">
        <v>181</v>
      </c>
      <c r="R56" s="11" t="s">
        <v>181</v>
      </c>
    </row>
    <row r="57" ht="27.6" spans="1:18">
      <c r="A57" s="6" t="s">
        <v>16</v>
      </c>
      <c r="B57" s="6" t="s">
        <v>149</v>
      </c>
      <c r="C57" s="6" t="s">
        <v>150</v>
      </c>
      <c r="D57" s="6">
        <v>3</v>
      </c>
      <c r="E57" s="6" t="s">
        <v>214</v>
      </c>
      <c r="F57" s="6" t="s">
        <v>174</v>
      </c>
      <c r="G57" s="6" t="s">
        <v>180</v>
      </c>
      <c r="H57" s="6" t="s">
        <v>176</v>
      </c>
      <c r="I57" s="11">
        <v>42.06</v>
      </c>
      <c r="J57" s="11">
        <f>ROUND(I57*Assumptions!$B$4,2)</f>
        <v>8.41</v>
      </c>
      <c r="K57" s="11">
        <f t="shared" si="0"/>
        <v>62.45</v>
      </c>
      <c r="L57" s="11">
        <f t="shared" si="1"/>
        <v>54.04</v>
      </c>
      <c r="M57" s="11">
        <v>0</v>
      </c>
      <c r="N57" s="11">
        <v>0</v>
      </c>
      <c r="O57" s="11">
        <v>206.98</v>
      </c>
      <c r="P57" s="11">
        <v>0</v>
      </c>
      <c r="Q57" s="11" t="s">
        <v>181</v>
      </c>
      <c r="R57" s="11" t="s">
        <v>181</v>
      </c>
    </row>
    <row r="58" ht="27.6" spans="1:18">
      <c r="A58" s="6" t="s">
        <v>16</v>
      </c>
      <c r="B58" s="6" t="s">
        <v>154</v>
      </c>
      <c r="C58" s="6" t="s">
        <v>155</v>
      </c>
      <c r="D58" s="6">
        <v>1</v>
      </c>
      <c r="E58" s="6" t="s">
        <v>174</v>
      </c>
      <c r="F58" s="6" t="s">
        <v>215</v>
      </c>
      <c r="G58" s="6" t="s">
        <v>176</v>
      </c>
      <c r="H58" s="6" t="s">
        <v>177</v>
      </c>
      <c r="I58" s="11">
        <v>19.65</v>
      </c>
      <c r="J58" s="11">
        <f>ROUND(I58*Assumptions!$B$4,2)</f>
        <v>3.93</v>
      </c>
      <c r="K58" s="11">
        <f t="shared" si="0"/>
        <v>77.75</v>
      </c>
      <c r="L58" s="11">
        <f t="shared" si="1"/>
        <v>73.82</v>
      </c>
      <c r="M58" s="11">
        <v>0</v>
      </c>
      <c r="N58" s="11">
        <v>0</v>
      </c>
      <c r="O58" s="11">
        <v>19.65</v>
      </c>
      <c r="P58" s="11">
        <v>63.35</v>
      </c>
      <c r="Q58" s="11">
        <v>83</v>
      </c>
      <c r="R58" s="11">
        <v>93</v>
      </c>
    </row>
    <row r="59" ht="27.6" spans="1:18">
      <c r="A59" s="6" t="s">
        <v>16</v>
      </c>
      <c r="B59" s="6" t="s">
        <v>154</v>
      </c>
      <c r="C59" s="6" t="s">
        <v>155</v>
      </c>
      <c r="D59" s="6">
        <v>2</v>
      </c>
      <c r="E59" s="6" t="s">
        <v>215</v>
      </c>
      <c r="F59" s="6" t="s">
        <v>174</v>
      </c>
      <c r="G59" s="6" t="s">
        <v>177</v>
      </c>
      <c r="H59" s="6" t="s">
        <v>176</v>
      </c>
      <c r="I59" s="11">
        <v>19.65</v>
      </c>
      <c r="J59" s="11">
        <f>ROUND(I59*Assumptions!$B$4,2)</f>
        <v>3.93</v>
      </c>
      <c r="K59" s="11">
        <f t="shared" si="0"/>
        <v>73.82</v>
      </c>
      <c r="L59" s="11">
        <f t="shared" si="1"/>
        <v>69.89</v>
      </c>
      <c r="M59" s="11">
        <v>0</v>
      </c>
      <c r="N59" s="11">
        <v>0</v>
      </c>
      <c r="O59" s="11">
        <v>112.65</v>
      </c>
      <c r="P59" s="11">
        <v>0</v>
      </c>
      <c r="Q59" s="11" t="s">
        <v>181</v>
      </c>
      <c r="R59" s="11" t="s">
        <v>181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7"/>
  <sheetViews>
    <sheetView workbookViewId="0">
      <selection activeCell="A1" sqref="A1"/>
    </sheetView>
  </sheetViews>
  <sheetFormatPr defaultColWidth="9" defaultRowHeight="13.8"/>
  <cols>
    <col min="1" max="1" width="11.7083333333333" customWidth="1"/>
    <col min="2" max="2" width="17.5" customWidth="1"/>
    <col min="3" max="3" width="12.3833333333333" customWidth="1"/>
    <col min="4" max="5" width="27.8583333333333" customWidth="1"/>
    <col min="6" max="6" width="18.5666666666667" customWidth="1"/>
    <col min="7" max="7" width="23.15" customWidth="1"/>
    <col min="8" max="8" width="21.2666666666667" customWidth="1"/>
    <col min="9" max="9" width="24.0916666666667" customWidth="1"/>
    <col min="10" max="10" width="29.6083333333333" customWidth="1"/>
    <col min="11" max="11" width="30.0083333333333" customWidth="1"/>
    <col min="12" max="12" width="33.65" customWidth="1"/>
    <col min="13" max="13" width="37.4166666666667" customWidth="1"/>
    <col min="14" max="14" width="32.0333333333333" customWidth="1"/>
  </cols>
  <sheetData>
    <row r="1" ht="42" customHeight="1" spans="1:26">
      <c r="A1" s="3" t="s">
        <v>0</v>
      </c>
      <c r="B1" s="3" t="s">
        <v>216</v>
      </c>
      <c r="C1" s="3" t="s">
        <v>217</v>
      </c>
      <c r="D1" s="10" t="s">
        <v>218</v>
      </c>
      <c r="E1" s="10" t="s">
        <v>219</v>
      </c>
      <c r="F1" s="10" t="s">
        <v>220</v>
      </c>
      <c r="G1" s="10" t="s">
        <v>221</v>
      </c>
      <c r="H1" s="10" t="s">
        <v>222</v>
      </c>
      <c r="I1" s="10" t="s">
        <v>223</v>
      </c>
      <c r="J1" s="10" t="s">
        <v>224</v>
      </c>
      <c r="K1" s="10" t="s">
        <v>225</v>
      </c>
      <c r="L1" s="10" t="s">
        <v>226</v>
      </c>
      <c r="M1" s="10" t="s">
        <v>227</v>
      </c>
      <c r="N1" s="10" t="s">
        <v>228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14">
      <c r="A2" s="6" t="s">
        <v>11</v>
      </c>
      <c r="B2" s="6" t="s">
        <v>174</v>
      </c>
      <c r="C2" s="6" t="s">
        <v>176</v>
      </c>
      <c r="D2" s="11">
        <v>40</v>
      </c>
      <c r="E2" s="11">
        <v>50</v>
      </c>
      <c r="F2" s="11">
        <v>0</v>
      </c>
      <c r="G2" s="11">
        <v>0</v>
      </c>
      <c r="H2" s="11">
        <v>1236</v>
      </c>
      <c r="I2" s="11">
        <v>0</v>
      </c>
      <c r="J2" s="11">
        <v>77.75</v>
      </c>
      <c r="K2" s="11">
        <v>200</v>
      </c>
      <c r="L2" s="11">
        <v>1</v>
      </c>
      <c r="M2" s="11">
        <v>3.47</v>
      </c>
      <c r="N2" s="11">
        <v>1</v>
      </c>
    </row>
    <row r="3" spans="1:14">
      <c r="A3" s="6" t="s">
        <v>11</v>
      </c>
      <c r="B3" s="6" t="s">
        <v>229</v>
      </c>
      <c r="C3" s="6" t="s">
        <v>180</v>
      </c>
      <c r="D3" s="11">
        <v>40</v>
      </c>
      <c r="E3" s="11">
        <v>50</v>
      </c>
      <c r="F3" s="11">
        <v>0</v>
      </c>
      <c r="G3" s="11">
        <v>0</v>
      </c>
      <c r="H3" s="11">
        <v>1236</v>
      </c>
      <c r="I3" s="11">
        <v>0</v>
      </c>
      <c r="J3" s="11">
        <v>77.75</v>
      </c>
      <c r="K3" s="11">
        <v>200</v>
      </c>
      <c r="L3" s="11">
        <v>1</v>
      </c>
      <c r="M3" s="11">
        <v>3.47</v>
      </c>
      <c r="N3" s="11">
        <v>1</v>
      </c>
    </row>
    <row r="4" spans="1:14">
      <c r="A4" s="6" t="s">
        <v>11</v>
      </c>
      <c r="B4" s="6" t="s">
        <v>230</v>
      </c>
      <c r="C4" s="6" t="s">
        <v>180</v>
      </c>
      <c r="D4" s="11">
        <v>77</v>
      </c>
      <c r="E4" s="11">
        <v>52</v>
      </c>
      <c r="F4" s="11">
        <v>0</v>
      </c>
      <c r="G4" s="11">
        <v>0</v>
      </c>
      <c r="H4" s="11">
        <v>1236</v>
      </c>
      <c r="I4" s="11">
        <v>0</v>
      </c>
      <c r="J4" s="11">
        <v>77.75</v>
      </c>
      <c r="K4" s="11">
        <v>200</v>
      </c>
      <c r="L4" s="11">
        <v>1</v>
      </c>
      <c r="M4" s="11">
        <v>3.47</v>
      </c>
      <c r="N4" s="11">
        <v>1</v>
      </c>
    </row>
    <row r="5" spans="1:14">
      <c r="A5" s="6" t="s">
        <v>11</v>
      </c>
      <c r="B5" s="6" t="s">
        <v>190</v>
      </c>
      <c r="C5" s="6" t="s">
        <v>180</v>
      </c>
      <c r="D5" s="11">
        <v>48</v>
      </c>
      <c r="E5" s="11">
        <v>8</v>
      </c>
      <c r="F5" s="11">
        <v>0</v>
      </c>
      <c r="G5" s="11">
        <v>0</v>
      </c>
      <c r="H5" s="11">
        <v>1236</v>
      </c>
      <c r="I5" s="11">
        <v>0</v>
      </c>
      <c r="J5" s="11">
        <v>77.75</v>
      </c>
      <c r="K5" s="11">
        <v>200</v>
      </c>
      <c r="L5" s="11">
        <v>1</v>
      </c>
      <c r="M5" s="11">
        <v>3.47</v>
      </c>
      <c r="N5" s="11">
        <v>1</v>
      </c>
    </row>
    <row r="6" spans="1:14">
      <c r="A6" s="6" t="s">
        <v>11</v>
      </c>
      <c r="B6" s="6" t="s">
        <v>186</v>
      </c>
      <c r="C6" s="6" t="s">
        <v>180</v>
      </c>
      <c r="D6" s="11">
        <v>93</v>
      </c>
      <c r="E6" s="11">
        <v>43</v>
      </c>
      <c r="F6" s="11">
        <v>0</v>
      </c>
      <c r="G6" s="11">
        <v>0</v>
      </c>
      <c r="H6" s="11">
        <v>1236</v>
      </c>
      <c r="I6" s="11">
        <v>0</v>
      </c>
      <c r="J6" s="11">
        <v>77.75</v>
      </c>
      <c r="K6" s="11">
        <v>200</v>
      </c>
      <c r="L6" s="11">
        <v>1</v>
      </c>
      <c r="M6" s="11">
        <v>3.47</v>
      </c>
      <c r="N6" s="11">
        <v>1</v>
      </c>
    </row>
    <row r="7" spans="1:14">
      <c r="A7" s="6" t="s">
        <v>11</v>
      </c>
      <c r="B7" s="6" t="s">
        <v>179</v>
      </c>
      <c r="C7" s="6" t="s">
        <v>180</v>
      </c>
      <c r="D7" s="11">
        <v>57</v>
      </c>
      <c r="E7" s="11">
        <v>82</v>
      </c>
      <c r="F7" s="11">
        <v>0</v>
      </c>
      <c r="G7" s="11">
        <v>0</v>
      </c>
      <c r="H7" s="11">
        <v>1236</v>
      </c>
      <c r="I7" s="11">
        <v>0</v>
      </c>
      <c r="J7" s="11">
        <v>77.75</v>
      </c>
      <c r="K7" s="11">
        <v>200</v>
      </c>
      <c r="L7" s="11">
        <v>1</v>
      </c>
      <c r="M7" s="11">
        <v>3.47</v>
      </c>
      <c r="N7" s="11">
        <v>1</v>
      </c>
    </row>
    <row r="8" spans="1:14">
      <c r="A8" s="6" t="s">
        <v>11</v>
      </c>
      <c r="B8" s="6" t="s">
        <v>187</v>
      </c>
      <c r="C8" s="6" t="s">
        <v>177</v>
      </c>
      <c r="D8" s="11">
        <v>55</v>
      </c>
      <c r="E8" s="11">
        <v>85</v>
      </c>
      <c r="F8" s="11">
        <v>20</v>
      </c>
      <c r="G8" s="11">
        <v>744</v>
      </c>
      <c r="H8" s="11">
        <v>798</v>
      </c>
      <c r="I8" s="11">
        <v>90</v>
      </c>
      <c r="J8" s="11">
        <v>77.75</v>
      </c>
      <c r="K8" s="11">
        <v>200</v>
      </c>
      <c r="L8" s="11">
        <v>1</v>
      </c>
      <c r="M8" s="11">
        <v>3.47</v>
      </c>
      <c r="N8" s="11">
        <v>1</v>
      </c>
    </row>
    <row r="9" spans="1:14">
      <c r="A9" s="6" t="s">
        <v>11</v>
      </c>
      <c r="B9" s="6" t="s">
        <v>191</v>
      </c>
      <c r="C9" s="6" t="s">
        <v>177</v>
      </c>
      <c r="D9" s="11">
        <v>22</v>
      </c>
      <c r="E9" s="11">
        <v>75</v>
      </c>
      <c r="F9" s="11">
        <v>30</v>
      </c>
      <c r="G9" s="11">
        <v>1042</v>
      </c>
      <c r="H9" s="11">
        <v>1106</v>
      </c>
      <c r="I9" s="11">
        <v>90</v>
      </c>
      <c r="J9" s="11">
        <v>77.75</v>
      </c>
      <c r="K9" s="11">
        <v>200</v>
      </c>
      <c r="L9" s="11">
        <v>1</v>
      </c>
      <c r="M9" s="11">
        <v>3.47</v>
      </c>
      <c r="N9" s="11">
        <v>1</v>
      </c>
    </row>
    <row r="10" spans="1:14">
      <c r="A10" s="6" t="s">
        <v>11</v>
      </c>
      <c r="B10" s="6" t="s">
        <v>183</v>
      </c>
      <c r="C10" s="6" t="s">
        <v>177</v>
      </c>
      <c r="D10" s="11">
        <v>23</v>
      </c>
      <c r="E10" s="11">
        <v>52</v>
      </c>
      <c r="F10" s="11">
        <v>10</v>
      </c>
      <c r="G10" s="11">
        <v>263</v>
      </c>
      <c r="H10" s="11">
        <v>311</v>
      </c>
      <c r="I10" s="11">
        <v>90</v>
      </c>
      <c r="J10" s="11">
        <v>77.75</v>
      </c>
      <c r="K10" s="11">
        <v>200</v>
      </c>
      <c r="L10" s="11">
        <v>1</v>
      </c>
      <c r="M10" s="11">
        <v>3.47</v>
      </c>
      <c r="N10" s="11">
        <v>1</v>
      </c>
    </row>
    <row r="11" spans="1:14">
      <c r="A11" s="6" t="s">
        <v>11</v>
      </c>
      <c r="B11" s="6" t="s">
        <v>184</v>
      </c>
      <c r="C11" s="6" t="s">
        <v>177</v>
      </c>
      <c r="D11" s="11">
        <v>42</v>
      </c>
      <c r="E11" s="11">
        <v>68</v>
      </c>
      <c r="F11" s="11">
        <v>10</v>
      </c>
      <c r="G11" s="11">
        <v>584</v>
      </c>
      <c r="H11" s="11">
        <v>656</v>
      </c>
      <c r="I11" s="11">
        <v>90</v>
      </c>
      <c r="J11" s="11">
        <v>77.75</v>
      </c>
      <c r="K11" s="11">
        <v>200</v>
      </c>
      <c r="L11" s="11">
        <v>1</v>
      </c>
      <c r="M11" s="11">
        <v>3.47</v>
      </c>
      <c r="N11" s="11">
        <v>1</v>
      </c>
    </row>
    <row r="12" spans="1:14">
      <c r="A12" s="6" t="s">
        <v>11</v>
      </c>
      <c r="B12" s="6" t="s">
        <v>189</v>
      </c>
      <c r="C12" s="6" t="s">
        <v>177</v>
      </c>
      <c r="D12" s="11">
        <v>42</v>
      </c>
      <c r="E12" s="11">
        <v>10</v>
      </c>
      <c r="F12" s="11">
        <v>40</v>
      </c>
      <c r="G12" s="11">
        <v>810</v>
      </c>
      <c r="H12" s="11">
        <v>868</v>
      </c>
      <c r="I12" s="11">
        <v>90</v>
      </c>
      <c r="J12" s="11">
        <v>77.75</v>
      </c>
      <c r="K12" s="11">
        <v>200</v>
      </c>
      <c r="L12" s="11">
        <v>1</v>
      </c>
      <c r="M12" s="11">
        <v>3.47</v>
      </c>
      <c r="N12" s="11">
        <v>1</v>
      </c>
    </row>
    <row r="13" spans="1:14">
      <c r="A13" s="6" t="s">
        <v>11</v>
      </c>
      <c r="B13" s="6" t="s">
        <v>185</v>
      </c>
      <c r="C13" s="6" t="s">
        <v>177</v>
      </c>
      <c r="D13" s="11">
        <v>88</v>
      </c>
      <c r="E13" s="11">
        <v>35</v>
      </c>
      <c r="F13" s="11">
        <v>20</v>
      </c>
      <c r="G13" s="11">
        <v>667</v>
      </c>
      <c r="H13" s="11">
        <v>731</v>
      </c>
      <c r="I13" s="11">
        <v>90</v>
      </c>
      <c r="J13" s="11">
        <v>77.75</v>
      </c>
      <c r="K13" s="11">
        <v>200</v>
      </c>
      <c r="L13" s="11">
        <v>1</v>
      </c>
      <c r="M13" s="11">
        <v>3.47</v>
      </c>
      <c r="N13" s="11">
        <v>1</v>
      </c>
    </row>
    <row r="14" spans="1:14">
      <c r="A14" s="6" t="s">
        <v>11</v>
      </c>
      <c r="B14" s="6" t="s">
        <v>188</v>
      </c>
      <c r="C14" s="6" t="s">
        <v>177</v>
      </c>
      <c r="D14" s="11">
        <v>63</v>
      </c>
      <c r="E14" s="11">
        <v>58</v>
      </c>
      <c r="F14" s="11">
        <v>10</v>
      </c>
      <c r="G14" s="11">
        <v>929</v>
      </c>
      <c r="H14" s="11">
        <v>989</v>
      </c>
      <c r="I14" s="11">
        <v>90</v>
      </c>
      <c r="J14" s="11">
        <v>77.75</v>
      </c>
      <c r="K14" s="11">
        <v>200</v>
      </c>
      <c r="L14" s="11">
        <v>1</v>
      </c>
      <c r="M14" s="11">
        <v>3.47</v>
      </c>
      <c r="N14" s="11">
        <v>1</v>
      </c>
    </row>
    <row r="15" spans="1:14">
      <c r="A15" s="6" t="s">
        <v>11</v>
      </c>
      <c r="B15" s="6" t="s">
        <v>178</v>
      </c>
      <c r="C15" s="6" t="s">
        <v>177</v>
      </c>
      <c r="D15" s="11">
        <v>62</v>
      </c>
      <c r="E15" s="11">
        <v>80</v>
      </c>
      <c r="F15" s="11">
        <v>30</v>
      </c>
      <c r="G15" s="11">
        <v>274</v>
      </c>
      <c r="H15" s="11">
        <v>330</v>
      </c>
      <c r="I15" s="11">
        <v>90</v>
      </c>
      <c r="J15" s="11">
        <v>77.75</v>
      </c>
      <c r="K15" s="11">
        <v>200</v>
      </c>
      <c r="L15" s="11">
        <v>1</v>
      </c>
      <c r="M15" s="11">
        <v>3.47</v>
      </c>
      <c r="N15" s="11">
        <v>1</v>
      </c>
    </row>
    <row r="16" spans="1:14">
      <c r="A16" s="6" t="s">
        <v>11</v>
      </c>
      <c r="B16" s="6" t="s">
        <v>175</v>
      </c>
      <c r="C16" s="6" t="s">
        <v>177</v>
      </c>
      <c r="D16" s="11">
        <v>60</v>
      </c>
      <c r="E16" s="11">
        <v>80</v>
      </c>
      <c r="F16" s="11">
        <v>10</v>
      </c>
      <c r="G16" s="11">
        <v>177</v>
      </c>
      <c r="H16" s="11">
        <v>243</v>
      </c>
      <c r="I16" s="11">
        <v>90</v>
      </c>
      <c r="J16" s="11">
        <v>77.75</v>
      </c>
      <c r="K16" s="11">
        <v>200</v>
      </c>
      <c r="L16" s="11">
        <v>1</v>
      </c>
      <c r="M16" s="11">
        <v>3.47</v>
      </c>
      <c r="N16" s="11">
        <v>1</v>
      </c>
    </row>
    <row r="17" spans="1:14">
      <c r="A17" s="6" t="s">
        <v>11</v>
      </c>
      <c r="B17" s="6" t="s">
        <v>182</v>
      </c>
      <c r="C17" s="6" t="s">
        <v>177</v>
      </c>
      <c r="D17" s="11">
        <v>58</v>
      </c>
      <c r="E17" s="11">
        <v>75</v>
      </c>
      <c r="F17" s="11">
        <v>20</v>
      </c>
      <c r="G17" s="11">
        <v>181</v>
      </c>
      <c r="H17" s="11">
        <v>247</v>
      </c>
      <c r="I17" s="11">
        <v>90</v>
      </c>
      <c r="J17" s="11">
        <v>77.75</v>
      </c>
      <c r="K17" s="11">
        <v>200</v>
      </c>
      <c r="L17" s="11">
        <v>1</v>
      </c>
      <c r="M17" s="11">
        <v>3.47</v>
      </c>
      <c r="N17" s="11">
        <v>1</v>
      </c>
    </row>
    <row r="18" spans="1:14">
      <c r="A18" s="6" t="s">
        <v>14</v>
      </c>
      <c r="B18" s="6" t="s">
        <v>174</v>
      </c>
      <c r="C18" s="6" t="s">
        <v>176</v>
      </c>
      <c r="D18" s="11">
        <v>35</v>
      </c>
      <c r="E18" s="11">
        <v>35</v>
      </c>
      <c r="F18" s="11">
        <v>0</v>
      </c>
      <c r="G18" s="11">
        <v>0</v>
      </c>
      <c r="H18" s="11">
        <v>230</v>
      </c>
      <c r="I18" s="11">
        <v>0</v>
      </c>
      <c r="J18" s="11">
        <v>60.63</v>
      </c>
      <c r="K18" s="11">
        <v>200</v>
      </c>
      <c r="L18" s="11">
        <v>1</v>
      </c>
      <c r="M18" s="11">
        <v>0.49</v>
      </c>
      <c r="N18" s="11">
        <v>1</v>
      </c>
    </row>
    <row r="19" spans="1:14">
      <c r="A19" s="6" t="s">
        <v>14</v>
      </c>
      <c r="B19" s="6" t="s">
        <v>229</v>
      </c>
      <c r="C19" s="6" t="s">
        <v>180</v>
      </c>
      <c r="D19" s="11">
        <v>35</v>
      </c>
      <c r="E19" s="11">
        <v>35</v>
      </c>
      <c r="F19" s="11">
        <v>0</v>
      </c>
      <c r="G19" s="11">
        <v>0</v>
      </c>
      <c r="H19" s="11">
        <v>230</v>
      </c>
      <c r="I19" s="11">
        <v>0</v>
      </c>
      <c r="J19" s="11">
        <v>60.63</v>
      </c>
      <c r="K19" s="11">
        <v>200</v>
      </c>
      <c r="L19" s="11">
        <v>1</v>
      </c>
      <c r="M19" s="11">
        <v>0.49</v>
      </c>
      <c r="N19" s="11">
        <v>1</v>
      </c>
    </row>
    <row r="20" spans="1:14">
      <c r="A20" s="6" t="s">
        <v>14</v>
      </c>
      <c r="B20" s="6" t="s">
        <v>197</v>
      </c>
      <c r="C20" s="6" t="s">
        <v>180</v>
      </c>
      <c r="D20" s="11">
        <v>51</v>
      </c>
      <c r="E20" s="11">
        <v>7</v>
      </c>
      <c r="F20" s="11">
        <v>0</v>
      </c>
      <c r="G20" s="11">
        <v>0</v>
      </c>
      <c r="H20" s="11">
        <v>230</v>
      </c>
      <c r="I20" s="11">
        <v>0</v>
      </c>
      <c r="J20" s="11">
        <v>60.63</v>
      </c>
      <c r="K20" s="11">
        <v>200</v>
      </c>
      <c r="L20" s="11">
        <v>1</v>
      </c>
      <c r="M20" s="11">
        <v>0.49</v>
      </c>
      <c r="N20" s="11">
        <v>1</v>
      </c>
    </row>
    <row r="21" spans="1:14">
      <c r="A21" s="6" t="s">
        <v>14</v>
      </c>
      <c r="B21" s="6" t="s">
        <v>200</v>
      </c>
      <c r="C21" s="6" t="s">
        <v>180</v>
      </c>
      <c r="D21" s="11">
        <v>63</v>
      </c>
      <c r="E21" s="11">
        <v>12</v>
      </c>
      <c r="F21" s="11">
        <v>0</v>
      </c>
      <c r="G21" s="11">
        <v>0</v>
      </c>
      <c r="H21" s="11">
        <v>230</v>
      </c>
      <c r="I21" s="11">
        <v>0</v>
      </c>
      <c r="J21" s="11">
        <v>60.63</v>
      </c>
      <c r="K21" s="11">
        <v>200</v>
      </c>
      <c r="L21" s="11">
        <v>1</v>
      </c>
      <c r="M21" s="11">
        <v>0.49</v>
      </c>
      <c r="N21" s="11">
        <v>1</v>
      </c>
    </row>
    <row r="22" spans="1:14">
      <c r="A22" s="6" t="s">
        <v>14</v>
      </c>
      <c r="B22" s="6" t="s">
        <v>195</v>
      </c>
      <c r="C22" s="6" t="s">
        <v>180</v>
      </c>
      <c r="D22" s="11">
        <v>28</v>
      </c>
      <c r="E22" s="11">
        <v>62</v>
      </c>
      <c r="F22" s="11">
        <v>0</v>
      </c>
      <c r="G22" s="11">
        <v>0</v>
      </c>
      <c r="H22" s="11">
        <v>230</v>
      </c>
      <c r="I22" s="11">
        <v>0</v>
      </c>
      <c r="J22" s="11">
        <v>60.63</v>
      </c>
      <c r="K22" s="11">
        <v>200</v>
      </c>
      <c r="L22" s="11">
        <v>1</v>
      </c>
      <c r="M22" s="11">
        <v>0.49</v>
      </c>
      <c r="N22" s="11">
        <v>1</v>
      </c>
    </row>
    <row r="23" spans="1:14">
      <c r="A23" s="6" t="s">
        <v>14</v>
      </c>
      <c r="B23" s="6" t="s">
        <v>196</v>
      </c>
      <c r="C23" s="6" t="s">
        <v>177</v>
      </c>
      <c r="D23" s="11">
        <v>50</v>
      </c>
      <c r="E23" s="11">
        <v>35</v>
      </c>
      <c r="F23" s="11">
        <v>19</v>
      </c>
      <c r="G23" s="11">
        <v>177</v>
      </c>
      <c r="H23" s="11">
        <v>187</v>
      </c>
      <c r="I23" s="11">
        <v>10</v>
      </c>
      <c r="J23" s="11">
        <v>60.63</v>
      </c>
      <c r="K23" s="11">
        <v>200</v>
      </c>
      <c r="L23" s="11">
        <v>1</v>
      </c>
      <c r="M23" s="11">
        <v>0.49</v>
      </c>
      <c r="N23" s="11">
        <v>1</v>
      </c>
    </row>
    <row r="24" spans="1:14">
      <c r="A24" s="6" t="s">
        <v>14</v>
      </c>
      <c r="B24" s="6" t="s">
        <v>194</v>
      </c>
      <c r="C24" s="6" t="s">
        <v>177</v>
      </c>
      <c r="D24" s="11">
        <v>45</v>
      </c>
      <c r="E24" s="11">
        <v>65</v>
      </c>
      <c r="F24" s="11">
        <v>9</v>
      </c>
      <c r="G24" s="11">
        <v>77</v>
      </c>
      <c r="H24" s="11">
        <v>87</v>
      </c>
      <c r="I24" s="11">
        <v>10</v>
      </c>
      <c r="J24" s="11">
        <v>60.63</v>
      </c>
      <c r="K24" s="11">
        <v>200</v>
      </c>
      <c r="L24" s="11">
        <v>1</v>
      </c>
      <c r="M24" s="11">
        <v>0.49</v>
      </c>
      <c r="N24" s="11">
        <v>1</v>
      </c>
    </row>
    <row r="25" spans="1:14">
      <c r="A25" s="6" t="s">
        <v>14</v>
      </c>
      <c r="B25" s="6" t="s">
        <v>203</v>
      </c>
      <c r="C25" s="6" t="s">
        <v>177</v>
      </c>
      <c r="D25" s="11">
        <v>45</v>
      </c>
      <c r="E25" s="11">
        <v>20</v>
      </c>
      <c r="F25" s="11">
        <v>11</v>
      </c>
      <c r="G25" s="11">
        <v>0</v>
      </c>
      <c r="H25" s="11">
        <v>201</v>
      </c>
      <c r="I25" s="11">
        <v>10</v>
      </c>
      <c r="J25" s="11">
        <v>60.63</v>
      </c>
      <c r="K25" s="11">
        <v>200</v>
      </c>
      <c r="L25" s="11">
        <v>1</v>
      </c>
      <c r="M25" s="11">
        <v>0.49</v>
      </c>
      <c r="N25" s="11">
        <v>1</v>
      </c>
    </row>
    <row r="26" spans="1:14">
      <c r="A26" s="6" t="s">
        <v>14</v>
      </c>
      <c r="B26" s="6" t="s">
        <v>198</v>
      </c>
      <c r="C26" s="6" t="s">
        <v>177</v>
      </c>
      <c r="D26" s="11">
        <v>55</v>
      </c>
      <c r="E26" s="11">
        <v>5</v>
      </c>
      <c r="F26" s="11">
        <v>29</v>
      </c>
      <c r="G26" s="11">
        <v>97</v>
      </c>
      <c r="H26" s="11">
        <v>107</v>
      </c>
      <c r="I26" s="11">
        <v>10</v>
      </c>
      <c r="J26" s="11">
        <v>60.63</v>
      </c>
      <c r="K26" s="11">
        <v>200</v>
      </c>
      <c r="L26" s="11">
        <v>1</v>
      </c>
      <c r="M26" s="11">
        <v>0.49</v>
      </c>
      <c r="N26" s="11">
        <v>1</v>
      </c>
    </row>
    <row r="27" spans="1:14">
      <c r="A27" s="6" t="s">
        <v>14</v>
      </c>
      <c r="B27" s="6" t="s">
        <v>192</v>
      </c>
      <c r="C27" s="6" t="s">
        <v>177</v>
      </c>
      <c r="D27" s="11">
        <v>31</v>
      </c>
      <c r="E27" s="11">
        <v>52</v>
      </c>
      <c r="F27" s="11">
        <v>27</v>
      </c>
      <c r="G27" s="11">
        <v>25</v>
      </c>
      <c r="H27" s="11">
        <v>35</v>
      </c>
      <c r="I27" s="11">
        <v>10</v>
      </c>
      <c r="J27" s="11">
        <v>60.63</v>
      </c>
      <c r="K27" s="11">
        <v>200</v>
      </c>
      <c r="L27" s="11">
        <v>1</v>
      </c>
      <c r="M27" s="11">
        <v>0.49</v>
      </c>
      <c r="N27" s="11">
        <v>1</v>
      </c>
    </row>
    <row r="28" spans="1:14">
      <c r="A28" s="6" t="s">
        <v>14</v>
      </c>
      <c r="B28" s="6" t="s">
        <v>202</v>
      </c>
      <c r="C28" s="6" t="s">
        <v>177</v>
      </c>
      <c r="D28" s="11">
        <v>17</v>
      </c>
      <c r="E28" s="11">
        <v>34</v>
      </c>
      <c r="F28" s="11">
        <v>3</v>
      </c>
      <c r="G28" s="11">
        <v>0</v>
      </c>
      <c r="H28" s="11">
        <v>201</v>
      </c>
      <c r="I28" s="11">
        <v>10</v>
      </c>
      <c r="J28" s="11">
        <v>60.63</v>
      </c>
      <c r="K28" s="11">
        <v>200</v>
      </c>
      <c r="L28" s="11">
        <v>1</v>
      </c>
      <c r="M28" s="11">
        <v>0.49</v>
      </c>
      <c r="N28" s="11">
        <v>1</v>
      </c>
    </row>
    <row r="29" spans="1:14">
      <c r="A29" s="6" t="s">
        <v>14</v>
      </c>
      <c r="B29" s="6" t="s">
        <v>199</v>
      </c>
      <c r="C29" s="6" t="s">
        <v>177</v>
      </c>
      <c r="D29" s="11">
        <v>67</v>
      </c>
      <c r="E29" s="11">
        <v>5</v>
      </c>
      <c r="F29" s="11">
        <v>25</v>
      </c>
      <c r="G29" s="11">
        <v>0</v>
      </c>
      <c r="H29" s="11">
        <v>176</v>
      </c>
      <c r="I29" s="11">
        <v>10</v>
      </c>
      <c r="J29" s="11">
        <v>60.63</v>
      </c>
      <c r="K29" s="11">
        <v>200</v>
      </c>
      <c r="L29" s="11">
        <v>1</v>
      </c>
      <c r="M29" s="11">
        <v>0.49</v>
      </c>
      <c r="N29" s="11">
        <v>1</v>
      </c>
    </row>
    <row r="30" spans="1:14">
      <c r="A30" s="6" t="s">
        <v>14</v>
      </c>
      <c r="B30" s="6" t="s">
        <v>204</v>
      </c>
      <c r="C30" s="6" t="s">
        <v>177</v>
      </c>
      <c r="D30" s="11">
        <v>53</v>
      </c>
      <c r="E30" s="11">
        <v>43</v>
      </c>
      <c r="F30" s="11">
        <v>14</v>
      </c>
      <c r="G30" s="11">
        <v>150</v>
      </c>
      <c r="H30" s="11">
        <v>160</v>
      </c>
      <c r="I30" s="11">
        <v>10</v>
      </c>
      <c r="J30" s="11">
        <v>60.63</v>
      </c>
      <c r="K30" s="11">
        <v>200</v>
      </c>
      <c r="L30" s="11">
        <v>1</v>
      </c>
      <c r="M30" s="11">
        <v>0.49</v>
      </c>
      <c r="N30" s="11">
        <v>1</v>
      </c>
    </row>
    <row r="31" spans="1:14">
      <c r="A31" s="6" t="s">
        <v>14</v>
      </c>
      <c r="B31" s="6" t="s">
        <v>193</v>
      </c>
      <c r="C31" s="6" t="s">
        <v>177</v>
      </c>
      <c r="D31" s="11">
        <v>26</v>
      </c>
      <c r="E31" s="11">
        <v>52</v>
      </c>
      <c r="F31" s="11">
        <v>9</v>
      </c>
      <c r="G31" s="11">
        <v>166</v>
      </c>
      <c r="H31" s="11">
        <v>176</v>
      </c>
      <c r="I31" s="11">
        <v>10</v>
      </c>
      <c r="J31" s="11">
        <v>60.63</v>
      </c>
      <c r="K31" s="11">
        <v>200</v>
      </c>
      <c r="L31" s="11">
        <v>1</v>
      </c>
      <c r="M31" s="11">
        <v>0.49</v>
      </c>
      <c r="N31" s="11">
        <v>1</v>
      </c>
    </row>
    <row r="32" spans="1:14">
      <c r="A32" s="6" t="s">
        <v>14</v>
      </c>
      <c r="B32" s="6" t="s">
        <v>201</v>
      </c>
      <c r="C32" s="6" t="s">
        <v>177</v>
      </c>
      <c r="D32" s="11">
        <v>20</v>
      </c>
      <c r="E32" s="11">
        <v>26</v>
      </c>
      <c r="F32" s="11">
        <v>9</v>
      </c>
      <c r="G32" s="11">
        <v>138</v>
      </c>
      <c r="H32" s="11">
        <v>148</v>
      </c>
      <c r="I32" s="11">
        <v>10</v>
      </c>
      <c r="J32" s="11">
        <v>60.63</v>
      </c>
      <c r="K32" s="11">
        <v>200</v>
      </c>
      <c r="L32" s="11">
        <v>1</v>
      </c>
      <c r="M32" s="11">
        <v>0.49</v>
      </c>
      <c r="N32" s="11">
        <v>1</v>
      </c>
    </row>
    <row r="33" spans="1:14">
      <c r="A33" s="6" t="s">
        <v>16</v>
      </c>
      <c r="B33" s="6" t="s">
        <v>174</v>
      </c>
      <c r="C33" s="6" t="s">
        <v>176</v>
      </c>
      <c r="D33" s="11">
        <v>40</v>
      </c>
      <c r="E33" s="11">
        <v>50</v>
      </c>
      <c r="F33" s="11">
        <v>0</v>
      </c>
      <c r="G33" s="11">
        <v>0</v>
      </c>
      <c r="H33" s="11">
        <v>240</v>
      </c>
      <c r="I33" s="11">
        <v>0</v>
      </c>
      <c r="J33" s="11">
        <v>77.75</v>
      </c>
      <c r="K33" s="11">
        <v>200</v>
      </c>
      <c r="L33" s="11">
        <v>1</v>
      </c>
      <c r="M33" s="11">
        <v>0.39</v>
      </c>
      <c r="N33" s="11">
        <v>1</v>
      </c>
    </row>
    <row r="34" spans="1:14">
      <c r="A34" s="6" t="s">
        <v>16</v>
      </c>
      <c r="B34" s="6" t="s">
        <v>229</v>
      </c>
      <c r="C34" s="6" t="s">
        <v>180</v>
      </c>
      <c r="D34" s="11">
        <v>40</v>
      </c>
      <c r="E34" s="11">
        <v>50</v>
      </c>
      <c r="F34" s="11">
        <v>0</v>
      </c>
      <c r="G34" s="11">
        <v>0</v>
      </c>
      <c r="H34" s="11">
        <v>240</v>
      </c>
      <c r="I34" s="11">
        <v>0</v>
      </c>
      <c r="J34" s="11">
        <v>77.75</v>
      </c>
      <c r="K34" s="11">
        <v>200</v>
      </c>
      <c r="L34" s="11">
        <v>1</v>
      </c>
      <c r="M34" s="11">
        <v>0.39</v>
      </c>
      <c r="N34" s="11">
        <v>1</v>
      </c>
    </row>
    <row r="35" spans="1:14">
      <c r="A35" s="6" t="s">
        <v>16</v>
      </c>
      <c r="B35" s="6" t="s">
        <v>230</v>
      </c>
      <c r="C35" s="6" t="s">
        <v>180</v>
      </c>
      <c r="D35" s="11">
        <v>77</v>
      </c>
      <c r="E35" s="11">
        <v>52</v>
      </c>
      <c r="F35" s="11">
        <v>0</v>
      </c>
      <c r="G35" s="11">
        <v>0</v>
      </c>
      <c r="H35" s="11">
        <v>240</v>
      </c>
      <c r="I35" s="11">
        <v>0</v>
      </c>
      <c r="J35" s="11">
        <v>77.75</v>
      </c>
      <c r="K35" s="11">
        <v>200</v>
      </c>
      <c r="L35" s="11">
        <v>1</v>
      </c>
      <c r="M35" s="11">
        <v>0.39</v>
      </c>
      <c r="N35" s="11">
        <v>1</v>
      </c>
    </row>
    <row r="36" spans="1:14">
      <c r="A36" s="6" t="s">
        <v>16</v>
      </c>
      <c r="B36" s="6" t="s">
        <v>207</v>
      </c>
      <c r="C36" s="6" t="s">
        <v>180</v>
      </c>
      <c r="D36" s="11">
        <v>39</v>
      </c>
      <c r="E36" s="11">
        <v>26</v>
      </c>
      <c r="F36" s="11">
        <v>0</v>
      </c>
      <c r="G36" s="11">
        <v>0</v>
      </c>
      <c r="H36" s="11">
        <v>240</v>
      </c>
      <c r="I36" s="11">
        <v>0</v>
      </c>
      <c r="J36" s="11">
        <v>77.75</v>
      </c>
      <c r="K36" s="11">
        <v>200</v>
      </c>
      <c r="L36" s="11">
        <v>1</v>
      </c>
      <c r="M36" s="11">
        <v>0.39</v>
      </c>
      <c r="N36" s="11">
        <v>1</v>
      </c>
    </row>
    <row r="37" spans="1:14">
      <c r="A37" s="6" t="s">
        <v>16</v>
      </c>
      <c r="B37" s="6" t="s">
        <v>214</v>
      </c>
      <c r="C37" s="6" t="s">
        <v>180</v>
      </c>
      <c r="D37" s="11">
        <v>77</v>
      </c>
      <c r="E37" s="11">
        <v>30</v>
      </c>
      <c r="F37" s="11">
        <v>0</v>
      </c>
      <c r="G37" s="11">
        <v>0</v>
      </c>
      <c r="H37" s="11">
        <v>240</v>
      </c>
      <c r="I37" s="11">
        <v>0</v>
      </c>
      <c r="J37" s="11">
        <v>77.75</v>
      </c>
      <c r="K37" s="11">
        <v>200</v>
      </c>
      <c r="L37" s="11">
        <v>1</v>
      </c>
      <c r="M37" s="11">
        <v>0.39</v>
      </c>
      <c r="N37" s="11">
        <v>1</v>
      </c>
    </row>
    <row r="38" spans="1:14">
      <c r="A38" s="6" t="s">
        <v>16</v>
      </c>
      <c r="B38" s="6" t="s">
        <v>211</v>
      </c>
      <c r="C38" s="6" t="s">
        <v>177</v>
      </c>
      <c r="D38" s="11">
        <v>8</v>
      </c>
      <c r="E38" s="11">
        <v>40</v>
      </c>
      <c r="F38" s="11">
        <v>40</v>
      </c>
      <c r="G38" s="11">
        <v>86</v>
      </c>
      <c r="H38" s="11">
        <v>116</v>
      </c>
      <c r="I38" s="11">
        <v>10</v>
      </c>
      <c r="J38" s="11">
        <v>77.75</v>
      </c>
      <c r="K38" s="11">
        <v>200</v>
      </c>
      <c r="L38" s="11">
        <v>1</v>
      </c>
      <c r="M38" s="11">
        <v>0.39</v>
      </c>
      <c r="N38" s="11">
        <v>1</v>
      </c>
    </row>
    <row r="39" spans="1:14">
      <c r="A39" s="6" t="s">
        <v>16</v>
      </c>
      <c r="B39" s="6" t="s">
        <v>213</v>
      </c>
      <c r="C39" s="6" t="s">
        <v>177</v>
      </c>
      <c r="D39" s="11">
        <v>95</v>
      </c>
      <c r="E39" s="11">
        <v>30</v>
      </c>
      <c r="F39" s="11">
        <v>30</v>
      </c>
      <c r="G39" s="11">
        <v>121</v>
      </c>
      <c r="H39" s="11">
        <v>151</v>
      </c>
      <c r="I39" s="11">
        <v>10</v>
      </c>
      <c r="J39" s="11">
        <v>77.75</v>
      </c>
      <c r="K39" s="11">
        <v>200</v>
      </c>
      <c r="L39" s="11">
        <v>1</v>
      </c>
      <c r="M39" s="11">
        <v>0.39</v>
      </c>
      <c r="N39" s="11">
        <v>1</v>
      </c>
    </row>
    <row r="40" spans="1:14">
      <c r="A40" s="6" t="s">
        <v>16</v>
      </c>
      <c r="B40" s="6" t="s">
        <v>209</v>
      </c>
      <c r="C40" s="6" t="s">
        <v>177</v>
      </c>
      <c r="D40" s="11">
        <v>55</v>
      </c>
      <c r="E40" s="11">
        <v>82</v>
      </c>
      <c r="F40" s="11">
        <v>10</v>
      </c>
      <c r="G40" s="11">
        <v>36</v>
      </c>
      <c r="H40" s="11">
        <v>66</v>
      </c>
      <c r="I40" s="11">
        <v>10</v>
      </c>
      <c r="J40" s="11">
        <v>77.75</v>
      </c>
      <c r="K40" s="11">
        <v>200</v>
      </c>
      <c r="L40" s="11">
        <v>1</v>
      </c>
      <c r="M40" s="11">
        <v>0.39</v>
      </c>
      <c r="N40" s="11">
        <v>1</v>
      </c>
    </row>
    <row r="41" spans="1:14">
      <c r="A41" s="6" t="s">
        <v>16</v>
      </c>
      <c r="B41" s="6" t="s">
        <v>210</v>
      </c>
      <c r="C41" s="6" t="s">
        <v>177</v>
      </c>
      <c r="D41" s="11">
        <v>20</v>
      </c>
      <c r="E41" s="11">
        <v>82</v>
      </c>
      <c r="F41" s="11">
        <v>10</v>
      </c>
      <c r="G41" s="11">
        <v>53</v>
      </c>
      <c r="H41" s="11">
        <v>83</v>
      </c>
      <c r="I41" s="11">
        <v>10</v>
      </c>
      <c r="J41" s="11">
        <v>77.75</v>
      </c>
      <c r="K41" s="11">
        <v>200</v>
      </c>
      <c r="L41" s="11">
        <v>1</v>
      </c>
      <c r="M41" s="11">
        <v>0.39</v>
      </c>
      <c r="N41" s="11">
        <v>1</v>
      </c>
    </row>
    <row r="42" spans="1:14">
      <c r="A42" s="6" t="s">
        <v>16</v>
      </c>
      <c r="B42" s="6" t="s">
        <v>206</v>
      </c>
      <c r="C42" s="6" t="s">
        <v>177</v>
      </c>
      <c r="D42" s="11">
        <v>42</v>
      </c>
      <c r="E42" s="11">
        <v>12</v>
      </c>
      <c r="F42" s="11">
        <v>10</v>
      </c>
      <c r="G42" s="11">
        <v>85</v>
      </c>
      <c r="H42" s="11">
        <v>115</v>
      </c>
      <c r="I42" s="11">
        <v>10</v>
      </c>
      <c r="J42" s="11">
        <v>77.75</v>
      </c>
      <c r="K42" s="11">
        <v>200</v>
      </c>
      <c r="L42" s="11">
        <v>1</v>
      </c>
      <c r="M42" s="11">
        <v>0.39</v>
      </c>
      <c r="N42" s="11">
        <v>1</v>
      </c>
    </row>
    <row r="43" spans="1:14">
      <c r="A43" s="6" t="s">
        <v>16</v>
      </c>
      <c r="B43" s="6" t="s">
        <v>212</v>
      </c>
      <c r="C43" s="6" t="s">
        <v>177</v>
      </c>
      <c r="D43" s="11">
        <v>20</v>
      </c>
      <c r="E43" s="11">
        <v>50</v>
      </c>
      <c r="F43" s="11">
        <v>5</v>
      </c>
      <c r="G43" s="11">
        <v>0</v>
      </c>
      <c r="H43" s="11">
        <v>210</v>
      </c>
      <c r="I43" s="11">
        <v>10</v>
      </c>
      <c r="J43" s="11">
        <v>77.75</v>
      </c>
      <c r="K43" s="11">
        <v>200</v>
      </c>
      <c r="L43" s="11">
        <v>1</v>
      </c>
      <c r="M43" s="11">
        <v>0.39</v>
      </c>
      <c r="N43" s="11">
        <v>1</v>
      </c>
    </row>
    <row r="44" spans="1:14">
      <c r="A44" s="6" t="s">
        <v>16</v>
      </c>
      <c r="B44" s="6" t="s">
        <v>189</v>
      </c>
      <c r="C44" s="6" t="s">
        <v>177</v>
      </c>
      <c r="D44" s="11">
        <v>55</v>
      </c>
      <c r="E44" s="11">
        <v>60</v>
      </c>
      <c r="F44" s="11">
        <v>16</v>
      </c>
      <c r="G44" s="11">
        <v>170</v>
      </c>
      <c r="H44" s="11">
        <v>200</v>
      </c>
      <c r="I44" s="11">
        <v>10</v>
      </c>
      <c r="J44" s="11">
        <v>77.75</v>
      </c>
      <c r="K44" s="11">
        <v>200</v>
      </c>
      <c r="L44" s="11">
        <v>1</v>
      </c>
      <c r="M44" s="11">
        <v>0.39</v>
      </c>
      <c r="N44" s="11">
        <v>1</v>
      </c>
    </row>
    <row r="45" spans="1:14">
      <c r="A45" s="6" t="s">
        <v>16</v>
      </c>
      <c r="B45" s="6" t="s">
        <v>205</v>
      </c>
      <c r="C45" s="6" t="s">
        <v>177</v>
      </c>
      <c r="D45" s="11">
        <v>30</v>
      </c>
      <c r="E45" s="11">
        <v>25</v>
      </c>
      <c r="F45" s="11">
        <v>23</v>
      </c>
      <c r="G45" s="11">
        <v>27</v>
      </c>
      <c r="H45" s="11">
        <v>57</v>
      </c>
      <c r="I45" s="11">
        <v>10</v>
      </c>
      <c r="J45" s="11">
        <v>77.75</v>
      </c>
      <c r="K45" s="11">
        <v>200</v>
      </c>
      <c r="L45" s="11">
        <v>1</v>
      </c>
      <c r="M45" s="11">
        <v>0.39</v>
      </c>
      <c r="N45" s="11">
        <v>1</v>
      </c>
    </row>
    <row r="46" spans="1:14">
      <c r="A46" s="6" t="s">
        <v>16</v>
      </c>
      <c r="B46" s="6" t="s">
        <v>215</v>
      </c>
      <c r="C46" s="6" t="s">
        <v>177</v>
      </c>
      <c r="D46" s="11">
        <v>35</v>
      </c>
      <c r="E46" s="11">
        <v>69</v>
      </c>
      <c r="F46" s="11">
        <v>23</v>
      </c>
      <c r="G46" s="11">
        <v>83</v>
      </c>
      <c r="H46" s="11">
        <v>113</v>
      </c>
      <c r="I46" s="11">
        <v>10</v>
      </c>
      <c r="J46" s="11">
        <v>77.75</v>
      </c>
      <c r="K46" s="11">
        <v>200</v>
      </c>
      <c r="L46" s="11">
        <v>1</v>
      </c>
      <c r="M46" s="11">
        <v>0.39</v>
      </c>
      <c r="N46" s="11">
        <v>1</v>
      </c>
    </row>
    <row r="47" spans="1:14">
      <c r="A47" s="6" t="s">
        <v>16</v>
      </c>
      <c r="B47" s="6" t="s">
        <v>208</v>
      </c>
      <c r="C47" s="6" t="s">
        <v>177</v>
      </c>
      <c r="D47" s="11">
        <v>53</v>
      </c>
      <c r="E47" s="11">
        <v>43</v>
      </c>
      <c r="F47" s="11">
        <v>14</v>
      </c>
      <c r="G47" s="11">
        <v>140</v>
      </c>
      <c r="H47" s="11">
        <v>170</v>
      </c>
      <c r="I47" s="11">
        <v>10</v>
      </c>
      <c r="J47" s="11">
        <v>77.75</v>
      </c>
      <c r="K47" s="11">
        <v>200</v>
      </c>
      <c r="L47" s="11">
        <v>1</v>
      </c>
      <c r="M47" s="11">
        <v>0.39</v>
      </c>
      <c r="N47" s="11"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A1" sqref="A1"/>
    </sheetView>
  </sheetViews>
  <sheetFormatPr defaultColWidth="9" defaultRowHeight="13.8"/>
  <cols>
    <col min="1" max="1" width="22" customWidth="1"/>
    <col min="2" max="2" width="16" customWidth="1"/>
    <col min="3" max="3" width="14" customWidth="1"/>
    <col min="4" max="4" width="26" customWidth="1"/>
    <col min="5" max="5" width="24" customWidth="1"/>
    <col min="6" max="6" width="18" customWidth="1"/>
    <col min="7" max="7" width="16" customWidth="1"/>
    <col min="8" max="13" width="12" customWidth="1"/>
    <col min="14" max="14" width="42" customWidth="1"/>
  </cols>
  <sheetData>
    <row r="1" ht="27.6" spans="1:14">
      <c r="A1" s="3" t="s">
        <v>42</v>
      </c>
      <c r="B1" s="3" t="s">
        <v>231</v>
      </c>
      <c r="C1" s="3" t="s">
        <v>232</v>
      </c>
      <c r="D1" s="3" t="s">
        <v>233</v>
      </c>
      <c r="E1" s="3" t="s">
        <v>234</v>
      </c>
      <c r="F1" s="3" t="s">
        <v>235</v>
      </c>
      <c r="G1" s="3" t="s">
        <v>8</v>
      </c>
      <c r="H1" s="3" t="s">
        <v>236</v>
      </c>
      <c r="I1" s="3" t="s">
        <v>237</v>
      </c>
      <c r="J1" s="3" t="s">
        <v>238</v>
      </c>
      <c r="K1" s="3" t="s">
        <v>239</v>
      </c>
      <c r="L1" s="3" t="s">
        <v>240</v>
      </c>
      <c r="M1" s="3" t="s">
        <v>241</v>
      </c>
      <c r="N1" s="3" t="s">
        <v>242</v>
      </c>
    </row>
    <row r="2" spans="1:14">
      <c r="A2" s="6" t="s">
        <v>96</v>
      </c>
      <c r="B2" s="6" t="s">
        <v>243</v>
      </c>
      <c r="C2" s="7">
        <v>4383</v>
      </c>
      <c r="D2" s="8">
        <v>170103</v>
      </c>
      <c r="E2" s="9">
        <v>3.591</v>
      </c>
      <c r="F2" s="6" t="s">
        <v>77</v>
      </c>
      <c r="G2" s="6" t="s">
        <v>15</v>
      </c>
      <c r="H2" s="6">
        <v>344</v>
      </c>
      <c r="I2" s="6">
        <v>104</v>
      </c>
      <c r="J2" s="6">
        <v>893</v>
      </c>
      <c r="K2" s="6">
        <v>1736</v>
      </c>
      <c r="L2" s="6">
        <v>1125</v>
      </c>
      <c r="M2" s="6">
        <v>181</v>
      </c>
      <c r="N2" s="6" t="s">
        <v>244</v>
      </c>
    </row>
    <row r="3" spans="1:14">
      <c r="A3" s="6" t="s">
        <v>245</v>
      </c>
      <c r="B3" s="6" t="s">
        <v>246</v>
      </c>
      <c r="C3" s="7">
        <v>1007</v>
      </c>
      <c r="D3" s="8">
        <v>56146</v>
      </c>
      <c r="E3" s="9">
        <v>2.982</v>
      </c>
      <c r="F3" s="6" t="s">
        <v>55</v>
      </c>
      <c r="G3" s="6" t="s">
        <v>15</v>
      </c>
      <c r="H3" s="6">
        <v>264</v>
      </c>
      <c r="I3" s="6">
        <v>118</v>
      </c>
      <c r="J3" s="6">
        <v>131</v>
      </c>
      <c r="K3" s="6">
        <v>111</v>
      </c>
      <c r="L3" s="6">
        <v>121</v>
      </c>
      <c r="M3" s="6">
        <v>262</v>
      </c>
      <c r="N3" s="6" t="s">
        <v>244</v>
      </c>
    </row>
    <row r="4" spans="1:14">
      <c r="A4" s="6" t="s">
        <v>247</v>
      </c>
      <c r="B4" s="6" t="s">
        <v>248</v>
      </c>
      <c r="C4" s="7">
        <v>686</v>
      </c>
      <c r="D4" s="8">
        <v>32545</v>
      </c>
      <c r="E4" s="9">
        <v>3.47</v>
      </c>
      <c r="F4" s="6" t="s">
        <v>55</v>
      </c>
      <c r="G4" s="6" t="s">
        <v>15</v>
      </c>
      <c r="H4" s="6">
        <v>129</v>
      </c>
      <c r="I4" s="6">
        <v>80</v>
      </c>
      <c r="J4" s="6">
        <v>102</v>
      </c>
      <c r="K4" s="6">
        <v>98</v>
      </c>
      <c r="L4" s="6">
        <v>77</v>
      </c>
      <c r="M4" s="6">
        <v>200</v>
      </c>
      <c r="N4" s="6" t="s">
        <v>244</v>
      </c>
    </row>
    <row r="5" spans="1:14">
      <c r="A5" s="6" t="s">
        <v>249</v>
      </c>
      <c r="B5" s="6" t="s">
        <v>250</v>
      </c>
      <c r="C5" s="7">
        <v>896</v>
      </c>
      <c r="D5" s="8">
        <v>46754</v>
      </c>
      <c r="E5" s="9">
        <v>3.463</v>
      </c>
      <c r="F5" s="6" t="s">
        <v>55</v>
      </c>
      <c r="G5" s="6" t="s">
        <v>15</v>
      </c>
      <c r="H5" s="6">
        <v>158</v>
      </c>
      <c r="I5" s="6">
        <v>86</v>
      </c>
      <c r="J5" s="6">
        <v>157</v>
      </c>
      <c r="K5" s="6">
        <v>147</v>
      </c>
      <c r="L5" s="6">
        <v>147</v>
      </c>
      <c r="M5" s="6">
        <v>201</v>
      </c>
      <c r="N5" s="6" t="s">
        <v>244</v>
      </c>
    </row>
    <row r="6" spans="1:14">
      <c r="A6" s="6" t="s">
        <v>251</v>
      </c>
      <c r="B6" s="6" t="s">
        <v>252</v>
      </c>
      <c r="C6" s="7">
        <v>743</v>
      </c>
      <c r="D6" s="8">
        <v>32297</v>
      </c>
      <c r="E6" s="9">
        <v>3.253</v>
      </c>
      <c r="F6" s="6" t="s">
        <v>55</v>
      </c>
      <c r="G6" s="6" t="s">
        <v>15</v>
      </c>
      <c r="H6" s="6">
        <v>237</v>
      </c>
      <c r="I6" s="6">
        <v>51</v>
      </c>
      <c r="J6" s="6">
        <v>98</v>
      </c>
      <c r="K6" s="6">
        <v>99</v>
      </c>
      <c r="L6" s="6">
        <v>101</v>
      </c>
      <c r="M6" s="6">
        <v>157</v>
      </c>
      <c r="N6" s="6" t="s">
        <v>244</v>
      </c>
    </row>
    <row r="7" spans="1:14">
      <c r="A7" s="6" t="s">
        <v>253</v>
      </c>
      <c r="B7" s="6" t="s">
        <v>254</v>
      </c>
      <c r="C7" s="7">
        <v>194</v>
      </c>
      <c r="D7" s="8">
        <v>8721</v>
      </c>
      <c r="E7" s="9">
        <v>2.308</v>
      </c>
      <c r="F7" s="6" t="s">
        <v>64</v>
      </c>
      <c r="G7" s="6" t="s">
        <v>12</v>
      </c>
      <c r="H7" s="6">
        <v>134</v>
      </c>
      <c r="I7" s="6">
        <v>3</v>
      </c>
      <c r="J7" s="6">
        <v>4</v>
      </c>
      <c r="K7" s="6">
        <v>3</v>
      </c>
      <c r="L7" s="6">
        <v>7</v>
      </c>
      <c r="M7" s="6">
        <v>43</v>
      </c>
      <c r="N7" s="6" t="s">
        <v>244</v>
      </c>
    </row>
    <row r="8" spans="1:14">
      <c r="A8" s="6" t="s">
        <v>255</v>
      </c>
      <c r="B8" s="6" t="s">
        <v>256</v>
      </c>
      <c r="C8" s="7">
        <v>559</v>
      </c>
      <c r="D8" s="8">
        <v>24620</v>
      </c>
      <c r="E8" s="9">
        <v>2.776</v>
      </c>
      <c r="F8" s="6" t="s">
        <v>55</v>
      </c>
      <c r="G8" s="6" t="s">
        <v>15</v>
      </c>
      <c r="H8" s="6">
        <v>201</v>
      </c>
      <c r="I8" s="6">
        <v>139</v>
      </c>
      <c r="J8" s="6">
        <v>43</v>
      </c>
      <c r="K8" s="6">
        <v>33</v>
      </c>
      <c r="L8" s="6">
        <v>40</v>
      </c>
      <c r="M8" s="6">
        <v>103</v>
      </c>
      <c r="N8" s="6" t="s">
        <v>244</v>
      </c>
    </row>
    <row r="9" spans="1:14">
      <c r="A9" s="6" t="s">
        <v>257</v>
      </c>
      <c r="B9" s="6" t="s">
        <v>258</v>
      </c>
      <c r="C9" s="7">
        <v>989</v>
      </c>
      <c r="D9" s="8">
        <v>51035</v>
      </c>
      <c r="E9" s="9">
        <v>2.155</v>
      </c>
      <c r="F9" s="6" t="s">
        <v>64</v>
      </c>
      <c r="G9" s="6" t="s">
        <v>12</v>
      </c>
      <c r="H9" s="6">
        <v>578</v>
      </c>
      <c r="I9" s="6">
        <v>96</v>
      </c>
      <c r="J9" s="6">
        <v>81</v>
      </c>
      <c r="K9" s="6">
        <v>50</v>
      </c>
      <c r="L9" s="6">
        <v>60</v>
      </c>
      <c r="M9" s="6">
        <v>124</v>
      </c>
      <c r="N9" s="6" t="s">
        <v>244</v>
      </c>
    </row>
    <row r="10" spans="1:14">
      <c r="A10" s="6" t="s">
        <v>259</v>
      </c>
      <c r="B10" s="6" t="s">
        <v>260</v>
      </c>
      <c r="C10" s="7">
        <v>824</v>
      </c>
      <c r="D10" s="8">
        <v>44840</v>
      </c>
      <c r="E10" s="9">
        <v>1.877</v>
      </c>
      <c r="F10" s="6" t="s">
        <v>64</v>
      </c>
      <c r="G10" s="6" t="s">
        <v>12</v>
      </c>
      <c r="H10" s="6">
        <v>546</v>
      </c>
      <c r="I10" s="6">
        <v>64</v>
      </c>
      <c r="J10" s="6">
        <v>47</v>
      </c>
      <c r="K10" s="6">
        <v>30</v>
      </c>
      <c r="L10" s="6">
        <v>30</v>
      </c>
      <c r="M10" s="6">
        <v>107</v>
      </c>
      <c r="N10" s="6" t="s">
        <v>244</v>
      </c>
    </row>
    <row r="11" spans="1:14">
      <c r="A11" s="6" t="s">
        <v>261</v>
      </c>
      <c r="B11" s="6" t="s">
        <v>262</v>
      </c>
      <c r="C11" s="7">
        <v>1004</v>
      </c>
      <c r="D11" s="8">
        <v>51632</v>
      </c>
      <c r="E11" s="9">
        <v>2.092</v>
      </c>
      <c r="F11" s="6" t="s">
        <v>64</v>
      </c>
      <c r="G11" s="6" t="s">
        <v>12</v>
      </c>
      <c r="H11" s="6">
        <v>528</v>
      </c>
      <c r="I11" s="6">
        <v>180</v>
      </c>
      <c r="J11" s="6">
        <v>70</v>
      </c>
      <c r="K11" s="6">
        <v>47</v>
      </c>
      <c r="L11" s="6">
        <v>42</v>
      </c>
      <c r="M11" s="6">
        <v>137</v>
      </c>
      <c r="N11" s="6" t="s">
        <v>244</v>
      </c>
    </row>
    <row r="12" spans="1:14">
      <c r="A12" s="6" t="s">
        <v>263</v>
      </c>
      <c r="B12" s="6" t="s">
        <v>264</v>
      </c>
      <c r="C12" s="7">
        <v>769</v>
      </c>
      <c r="D12" s="8">
        <v>38211</v>
      </c>
      <c r="E12" s="9">
        <v>2.001</v>
      </c>
      <c r="F12" s="6" t="s">
        <v>64</v>
      </c>
      <c r="G12" s="6" t="s">
        <v>12</v>
      </c>
      <c r="H12" s="6">
        <v>404</v>
      </c>
      <c r="I12" s="6">
        <v>197</v>
      </c>
      <c r="J12" s="6">
        <v>32</v>
      </c>
      <c r="K12" s="6">
        <v>29</v>
      </c>
      <c r="L12" s="6">
        <v>32</v>
      </c>
      <c r="M12" s="6">
        <v>75</v>
      </c>
      <c r="N12" s="6" t="s">
        <v>244</v>
      </c>
    </row>
    <row r="13" spans="1:14">
      <c r="A13" s="6" t="s">
        <v>265</v>
      </c>
      <c r="B13" s="6" t="s">
        <v>266</v>
      </c>
      <c r="C13" s="7">
        <v>535</v>
      </c>
      <c r="D13" s="8">
        <v>26201</v>
      </c>
      <c r="E13" s="9">
        <v>1.824</v>
      </c>
      <c r="F13" s="6" t="s">
        <v>64</v>
      </c>
      <c r="G13" s="6" t="s">
        <v>12</v>
      </c>
      <c r="H13" s="6">
        <v>311</v>
      </c>
      <c r="I13" s="6">
        <v>147</v>
      </c>
      <c r="J13" s="6">
        <v>24</v>
      </c>
      <c r="K13" s="6">
        <v>12</v>
      </c>
      <c r="L13" s="6">
        <v>6</v>
      </c>
      <c r="M13" s="6">
        <v>35</v>
      </c>
      <c r="N13" s="6" t="s">
        <v>244</v>
      </c>
    </row>
    <row r="14" spans="1:14">
      <c r="A14" s="6" t="s">
        <v>267</v>
      </c>
      <c r="B14" s="6" t="s">
        <v>268</v>
      </c>
      <c r="C14" s="7">
        <v>591</v>
      </c>
      <c r="D14" s="8">
        <v>31932</v>
      </c>
      <c r="E14" s="9">
        <v>1.835</v>
      </c>
      <c r="F14" s="6" t="s">
        <v>64</v>
      </c>
      <c r="G14" s="6" t="s">
        <v>12</v>
      </c>
      <c r="H14" s="6">
        <v>370</v>
      </c>
      <c r="I14" s="6">
        <v>98</v>
      </c>
      <c r="J14" s="6">
        <v>23</v>
      </c>
      <c r="K14" s="6">
        <v>24</v>
      </c>
      <c r="L14" s="6">
        <v>23</v>
      </c>
      <c r="M14" s="6">
        <v>53</v>
      </c>
      <c r="N14" s="6" t="s">
        <v>244</v>
      </c>
    </row>
    <row r="15" spans="1:14">
      <c r="A15" s="6" t="s">
        <v>269</v>
      </c>
      <c r="B15" s="6" t="s">
        <v>270</v>
      </c>
      <c r="C15" s="7">
        <v>372</v>
      </c>
      <c r="D15" s="8">
        <v>19883</v>
      </c>
      <c r="E15" s="9">
        <v>1.537</v>
      </c>
      <c r="F15" s="6" t="s">
        <v>64</v>
      </c>
      <c r="G15" s="6" t="s">
        <v>12</v>
      </c>
      <c r="H15" s="6">
        <v>335</v>
      </c>
      <c r="I15" s="6">
        <v>6</v>
      </c>
      <c r="J15" s="6">
        <v>1</v>
      </c>
      <c r="K15" s="6">
        <v>3</v>
      </c>
      <c r="L15" s="6">
        <v>2</v>
      </c>
      <c r="M15" s="6">
        <v>25</v>
      </c>
      <c r="N15" s="6" t="s">
        <v>244</v>
      </c>
    </row>
    <row r="16" spans="1:14">
      <c r="A16" s="6" t="s">
        <v>102</v>
      </c>
      <c r="B16" s="6" t="s">
        <v>271</v>
      </c>
      <c r="C16" s="7">
        <v>590</v>
      </c>
      <c r="D16" s="8">
        <v>26525</v>
      </c>
      <c r="E16" s="9">
        <v>1.46</v>
      </c>
      <c r="F16" s="6" t="s">
        <v>103</v>
      </c>
      <c r="G16" s="6" t="s">
        <v>12</v>
      </c>
      <c r="H16" s="6">
        <v>508</v>
      </c>
      <c r="I16" s="6">
        <v>12</v>
      </c>
      <c r="J16" s="6">
        <v>13</v>
      </c>
      <c r="K16" s="6">
        <v>12</v>
      </c>
      <c r="L16" s="6">
        <v>11</v>
      </c>
      <c r="M16" s="6">
        <v>34</v>
      </c>
      <c r="N16" s="6" t="s">
        <v>244</v>
      </c>
    </row>
    <row r="17" spans="1:14">
      <c r="A17" s="6" t="s">
        <v>137</v>
      </c>
      <c r="B17" s="6" t="s">
        <v>272</v>
      </c>
      <c r="C17" s="7">
        <v>651</v>
      </c>
      <c r="D17" s="8">
        <v>36236</v>
      </c>
      <c r="E17" s="9">
        <v>1.553</v>
      </c>
      <c r="F17" s="6" t="s">
        <v>64</v>
      </c>
      <c r="G17" s="6" t="s">
        <v>12</v>
      </c>
      <c r="H17" s="6">
        <v>529</v>
      </c>
      <c r="I17" s="6">
        <v>23</v>
      </c>
      <c r="J17" s="6">
        <v>9</v>
      </c>
      <c r="K17" s="6">
        <v>17</v>
      </c>
      <c r="L17" s="6">
        <v>19</v>
      </c>
      <c r="M17" s="6">
        <v>54</v>
      </c>
      <c r="N17" s="6" t="s">
        <v>244</v>
      </c>
    </row>
    <row r="18" spans="1:14">
      <c r="A18" s="6" t="s">
        <v>109</v>
      </c>
      <c r="B18" s="6" t="s">
        <v>273</v>
      </c>
      <c r="C18" s="7">
        <v>549</v>
      </c>
      <c r="D18" s="8">
        <v>31614</v>
      </c>
      <c r="E18" s="9">
        <v>1.753</v>
      </c>
      <c r="F18" s="6" t="s">
        <v>64</v>
      </c>
      <c r="G18" s="6" t="s">
        <v>12</v>
      </c>
      <c r="H18" s="6">
        <v>399</v>
      </c>
      <c r="I18" s="6">
        <v>30</v>
      </c>
      <c r="J18" s="6">
        <v>35</v>
      </c>
      <c r="K18" s="6">
        <v>13</v>
      </c>
      <c r="L18" s="6">
        <v>22</v>
      </c>
      <c r="M18" s="6">
        <v>50</v>
      </c>
      <c r="N18" s="6" t="s">
        <v>244</v>
      </c>
    </row>
    <row r="19" spans="1:14">
      <c r="A19" s="6" t="s">
        <v>115</v>
      </c>
      <c r="B19" s="6" t="s">
        <v>274</v>
      </c>
      <c r="C19" s="7">
        <v>454</v>
      </c>
      <c r="D19" s="8">
        <v>23949</v>
      </c>
      <c r="E19" s="9">
        <v>1.892</v>
      </c>
      <c r="F19" s="6" t="s">
        <v>64</v>
      </c>
      <c r="G19" s="6" t="s">
        <v>12</v>
      </c>
      <c r="H19" s="6">
        <v>317</v>
      </c>
      <c r="I19" s="6">
        <v>26</v>
      </c>
      <c r="J19" s="6">
        <v>23</v>
      </c>
      <c r="K19" s="6">
        <v>16</v>
      </c>
      <c r="L19" s="6">
        <v>30</v>
      </c>
      <c r="M19" s="6">
        <v>42</v>
      </c>
      <c r="N19" s="6" t="s">
        <v>244</v>
      </c>
    </row>
    <row r="20" spans="1:14">
      <c r="A20" s="6" t="s">
        <v>121</v>
      </c>
      <c r="B20" s="6" t="s">
        <v>275</v>
      </c>
      <c r="C20" s="7">
        <v>281</v>
      </c>
      <c r="D20" s="8">
        <v>16286</v>
      </c>
      <c r="E20" s="9">
        <v>2.322</v>
      </c>
      <c r="F20" s="6" t="s">
        <v>64</v>
      </c>
      <c r="G20" s="6" t="s">
        <v>12</v>
      </c>
      <c r="H20" s="6">
        <v>158</v>
      </c>
      <c r="I20" s="6">
        <v>20</v>
      </c>
      <c r="J20" s="6">
        <v>13</v>
      </c>
      <c r="K20" s="6">
        <v>13</v>
      </c>
      <c r="L20" s="6">
        <v>14</v>
      </c>
      <c r="M20" s="6">
        <v>63</v>
      </c>
      <c r="N20" s="6" t="s">
        <v>244</v>
      </c>
    </row>
    <row r="21" spans="1:14">
      <c r="A21" s="6" t="s">
        <v>54</v>
      </c>
      <c r="B21" s="6" t="s">
        <v>276</v>
      </c>
      <c r="C21" s="7">
        <v>473</v>
      </c>
      <c r="D21" s="8">
        <v>22614</v>
      </c>
      <c r="E21" s="9">
        <v>2.712</v>
      </c>
      <c r="F21" s="6" t="s">
        <v>55</v>
      </c>
      <c r="G21" s="6" t="s">
        <v>15</v>
      </c>
      <c r="H21" s="6">
        <v>228</v>
      </c>
      <c r="I21" s="6">
        <v>65</v>
      </c>
      <c r="J21" s="6">
        <v>25</v>
      </c>
      <c r="K21" s="6">
        <v>19</v>
      </c>
      <c r="L21" s="6">
        <v>32</v>
      </c>
      <c r="M21" s="6">
        <v>104</v>
      </c>
      <c r="N21" s="6" t="s">
        <v>244</v>
      </c>
    </row>
    <row r="22" spans="1:14">
      <c r="A22" s="6" t="s">
        <v>63</v>
      </c>
      <c r="B22" s="6" t="s">
        <v>277</v>
      </c>
      <c r="C22" s="7">
        <v>997</v>
      </c>
      <c r="D22" s="8">
        <v>52407</v>
      </c>
      <c r="E22" s="9">
        <v>2.385</v>
      </c>
      <c r="F22" s="6" t="s">
        <v>64</v>
      </c>
      <c r="G22" s="6" t="s">
        <v>12</v>
      </c>
      <c r="H22" s="6">
        <v>528</v>
      </c>
      <c r="I22" s="6">
        <v>53</v>
      </c>
      <c r="J22" s="6">
        <v>80</v>
      </c>
      <c r="K22" s="6">
        <v>85</v>
      </c>
      <c r="L22" s="6">
        <v>82</v>
      </c>
      <c r="M22" s="6">
        <v>169</v>
      </c>
      <c r="N22" s="6" t="s">
        <v>244</v>
      </c>
    </row>
    <row r="23" spans="1:14">
      <c r="A23" s="6" t="s">
        <v>278</v>
      </c>
      <c r="B23" s="6" t="s">
        <v>279</v>
      </c>
      <c r="C23" s="7">
        <v>890</v>
      </c>
      <c r="D23" s="8">
        <v>43817</v>
      </c>
      <c r="E23" s="9">
        <v>2.622</v>
      </c>
      <c r="F23" s="6" t="s">
        <v>55</v>
      </c>
      <c r="G23" s="6" t="s">
        <v>15</v>
      </c>
      <c r="H23" s="6">
        <v>361</v>
      </c>
      <c r="I23" s="6">
        <v>46</v>
      </c>
      <c r="J23" s="6">
        <v>102</v>
      </c>
      <c r="K23" s="6">
        <v>83</v>
      </c>
      <c r="L23" s="6">
        <v>102</v>
      </c>
      <c r="M23" s="6">
        <v>196</v>
      </c>
      <c r="N23" s="6" t="s">
        <v>244</v>
      </c>
    </row>
    <row r="24" spans="1:14">
      <c r="A24" s="6" t="s">
        <v>70</v>
      </c>
      <c r="B24" s="6" t="s">
        <v>280</v>
      </c>
      <c r="C24" s="7">
        <v>568</v>
      </c>
      <c r="D24" s="8">
        <v>30910</v>
      </c>
      <c r="E24" s="9">
        <v>3.039</v>
      </c>
      <c r="F24" s="6" t="s">
        <v>55</v>
      </c>
      <c r="G24" s="6" t="s">
        <v>15</v>
      </c>
      <c r="H24" s="6">
        <v>146</v>
      </c>
      <c r="I24" s="6">
        <v>100</v>
      </c>
      <c r="J24" s="6">
        <v>74</v>
      </c>
      <c r="K24" s="6">
        <v>60</v>
      </c>
      <c r="L24" s="6">
        <v>60</v>
      </c>
      <c r="M24" s="6">
        <v>128</v>
      </c>
      <c r="N24" s="6" t="s">
        <v>244</v>
      </c>
    </row>
    <row r="25" spans="1:14">
      <c r="A25" s="6" t="s">
        <v>281</v>
      </c>
      <c r="B25" s="6" t="s">
        <v>282</v>
      </c>
      <c r="C25" s="7">
        <v>862</v>
      </c>
      <c r="D25" s="8">
        <v>46218</v>
      </c>
      <c r="E25" s="9">
        <v>3.244</v>
      </c>
      <c r="F25" s="6" t="s">
        <v>55</v>
      </c>
      <c r="G25" s="6" t="s">
        <v>15</v>
      </c>
      <c r="H25" s="6">
        <v>192</v>
      </c>
      <c r="I25" s="6">
        <v>127</v>
      </c>
      <c r="J25" s="6">
        <v>136</v>
      </c>
      <c r="K25" s="6">
        <v>106</v>
      </c>
      <c r="L25" s="6">
        <v>110</v>
      </c>
      <c r="M25" s="6">
        <v>191</v>
      </c>
      <c r="N25" s="6" t="s">
        <v>244</v>
      </c>
    </row>
    <row r="26" spans="1:14">
      <c r="A26" s="6" t="s">
        <v>283</v>
      </c>
      <c r="B26" s="6" t="s">
        <v>284</v>
      </c>
      <c r="C26" s="7">
        <v>692</v>
      </c>
      <c r="D26" s="8">
        <v>32807</v>
      </c>
      <c r="E26" s="9">
        <v>3.584</v>
      </c>
      <c r="F26" s="6" t="s">
        <v>77</v>
      </c>
      <c r="G26" s="6" t="s">
        <v>15</v>
      </c>
      <c r="H26" s="6">
        <v>141</v>
      </c>
      <c r="I26" s="6">
        <v>65</v>
      </c>
      <c r="J26" s="6">
        <v>112</v>
      </c>
      <c r="K26" s="6">
        <v>123</v>
      </c>
      <c r="L26" s="6">
        <v>102</v>
      </c>
      <c r="M26" s="6">
        <v>149</v>
      </c>
      <c r="N26" s="6" t="s">
        <v>244</v>
      </c>
    </row>
    <row r="27" spans="1:14">
      <c r="A27" s="6" t="s">
        <v>285</v>
      </c>
      <c r="B27" s="6" t="s">
        <v>286</v>
      </c>
      <c r="C27" s="7">
        <v>498</v>
      </c>
      <c r="D27" s="8">
        <v>24822</v>
      </c>
      <c r="E27" s="9">
        <v>2.289</v>
      </c>
      <c r="F27" s="6" t="s">
        <v>64</v>
      </c>
      <c r="G27" s="6" t="s">
        <v>12</v>
      </c>
      <c r="H27" s="6">
        <v>317</v>
      </c>
      <c r="I27" s="6">
        <v>22</v>
      </c>
      <c r="J27" s="6">
        <v>29</v>
      </c>
      <c r="K27" s="6">
        <v>26</v>
      </c>
      <c r="L27" s="6">
        <v>21</v>
      </c>
      <c r="M27" s="6">
        <v>83</v>
      </c>
      <c r="N27" s="6" t="s">
        <v>244</v>
      </c>
    </row>
    <row r="28" spans="1:14">
      <c r="A28" s="6" t="s">
        <v>287</v>
      </c>
      <c r="B28" s="6" t="s">
        <v>288</v>
      </c>
      <c r="C28" s="7">
        <v>530</v>
      </c>
      <c r="D28" s="8">
        <v>38970</v>
      </c>
      <c r="E28" s="9">
        <v>2.119</v>
      </c>
      <c r="F28" s="6" t="s">
        <v>64</v>
      </c>
      <c r="G28" s="6" t="s">
        <v>12</v>
      </c>
      <c r="H28" s="6">
        <v>267</v>
      </c>
      <c r="I28" s="6">
        <v>34</v>
      </c>
      <c r="J28" s="6">
        <v>45</v>
      </c>
      <c r="K28" s="6">
        <v>47</v>
      </c>
      <c r="L28" s="6">
        <v>23</v>
      </c>
      <c r="M28" s="6">
        <v>114</v>
      </c>
      <c r="N28" s="6" t="s">
        <v>244</v>
      </c>
    </row>
    <row r="29" spans="1:14">
      <c r="A29" s="6" t="s">
        <v>289</v>
      </c>
      <c r="B29" s="6" t="s">
        <v>290</v>
      </c>
      <c r="C29" s="7">
        <v>1305</v>
      </c>
      <c r="D29" s="8">
        <v>65279</v>
      </c>
      <c r="E29" s="9">
        <v>2.15</v>
      </c>
      <c r="F29" s="6" t="s">
        <v>64</v>
      </c>
      <c r="G29" s="6" t="s">
        <v>12</v>
      </c>
      <c r="H29" s="6">
        <v>654</v>
      </c>
      <c r="I29" s="6">
        <v>309</v>
      </c>
      <c r="J29" s="6">
        <v>97</v>
      </c>
      <c r="K29" s="6">
        <v>52</v>
      </c>
      <c r="L29" s="6">
        <v>66</v>
      </c>
      <c r="M29" s="6">
        <v>127</v>
      </c>
      <c r="N29" s="6" t="s">
        <v>244</v>
      </c>
    </row>
    <row r="30" spans="1:14">
      <c r="A30" s="6" t="s">
        <v>291</v>
      </c>
      <c r="B30" s="6" t="s">
        <v>292</v>
      </c>
      <c r="C30" s="7">
        <v>1800</v>
      </c>
      <c r="D30" s="8">
        <v>94034</v>
      </c>
      <c r="E30" s="9">
        <v>1.88</v>
      </c>
      <c r="F30" s="6" t="s">
        <v>64</v>
      </c>
      <c r="G30" s="6" t="s">
        <v>12</v>
      </c>
      <c r="H30" s="6">
        <v>954</v>
      </c>
      <c r="I30" s="6">
        <v>429</v>
      </c>
      <c r="J30" s="6">
        <v>171</v>
      </c>
      <c r="K30" s="6">
        <v>58</v>
      </c>
      <c r="L30" s="6">
        <v>56</v>
      </c>
      <c r="M30" s="6">
        <v>132</v>
      </c>
      <c r="N30" s="6" t="s">
        <v>244</v>
      </c>
    </row>
    <row r="31" spans="1:14">
      <c r="A31" s="6" t="s">
        <v>293</v>
      </c>
      <c r="B31" s="6" t="s">
        <v>294</v>
      </c>
      <c r="C31" s="7">
        <v>1826</v>
      </c>
      <c r="D31" s="8">
        <v>95995</v>
      </c>
      <c r="E31" s="9">
        <v>1.545</v>
      </c>
      <c r="F31" s="6" t="s">
        <v>64</v>
      </c>
      <c r="G31" s="6" t="s">
        <v>12</v>
      </c>
      <c r="H31" s="6">
        <v>1007</v>
      </c>
      <c r="I31" s="6">
        <v>680</v>
      </c>
      <c r="J31" s="6">
        <v>27</v>
      </c>
      <c r="K31" s="6">
        <v>29</v>
      </c>
      <c r="L31" s="6">
        <v>22</v>
      </c>
      <c r="M31" s="6">
        <v>61</v>
      </c>
      <c r="N31" s="6" t="s">
        <v>244</v>
      </c>
    </row>
    <row r="32" spans="1:14">
      <c r="A32" s="6" t="s">
        <v>295</v>
      </c>
      <c r="B32" s="6" t="s">
        <v>296</v>
      </c>
      <c r="C32" s="7">
        <v>1597</v>
      </c>
      <c r="D32" s="8">
        <v>85915</v>
      </c>
      <c r="E32" s="9">
        <v>1.525</v>
      </c>
      <c r="F32" s="6" t="s">
        <v>64</v>
      </c>
      <c r="G32" s="6" t="s">
        <v>12</v>
      </c>
      <c r="H32" s="6">
        <v>930</v>
      </c>
      <c r="I32" s="6">
        <v>573</v>
      </c>
      <c r="J32" s="6">
        <v>18</v>
      </c>
      <c r="K32" s="6">
        <v>17</v>
      </c>
      <c r="L32" s="6">
        <v>20</v>
      </c>
      <c r="M32" s="6">
        <v>39</v>
      </c>
      <c r="N32" s="6" t="s">
        <v>244</v>
      </c>
    </row>
    <row r="33" spans="1:14">
      <c r="A33" s="6" t="s">
        <v>297</v>
      </c>
      <c r="B33" s="6" t="s">
        <v>298</v>
      </c>
      <c r="C33" s="7">
        <v>884</v>
      </c>
      <c r="D33" s="8">
        <v>43644</v>
      </c>
      <c r="E33" s="9">
        <v>1.746</v>
      </c>
      <c r="F33" s="6" t="s">
        <v>64</v>
      </c>
      <c r="G33" s="6" t="s">
        <v>12</v>
      </c>
      <c r="H33" s="6">
        <v>421</v>
      </c>
      <c r="I33" s="6">
        <v>403</v>
      </c>
      <c r="J33" s="6">
        <v>13</v>
      </c>
      <c r="K33" s="6">
        <v>11</v>
      </c>
      <c r="L33" s="6">
        <v>8</v>
      </c>
      <c r="M33" s="6">
        <v>28</v>
      </c>
      <c r="N33" s="6" t="s">
        <v>244</v>
      </c>
    </row>
    <row r="34" spans="1:14">
      <c r="A34" s="6" t="s">
        <v>299</v>
      </c>
      <c r="B34" s="6" t="s">
        <v>300</v>
      </c>
      <c r="C34" s="7">
        <v>110</v>
      </c>
      <c r="D34" s="8">
        <v>4257</v>
      </c>
      <c r="E34" s="9">
        <v>2.316</v>
      </c>
      <c r="F34" s="6" t="s">
        <v>64</v>
      </c>
      <c r="G34" s="6" t="s">
        <v>12</v>
      </c>
      <c r="H34" s="6">
        <v>23</v>
      </c>
      <c r="I34" s="6">
        <v>74</v>
      </c>
      <c r="J34" s="6">
        <v>0</v>
      </c>
      <c r="K34" s="6">
        <v>1</v>
      </c>
      <c r="L34" s="6">
        <v>1</v>
      </c>
      <c r="M34" s="6">
        <v>11</v>
      </c>
      <c r="N34" s="6" t="s">
        <v>244</v>
      </c>
    </row>
    <row r="35" spans="1:14">
      <c r="A35" s="6" t="s">
        <v>301</v>
      </c>
      <c r="B35" s="6" t="s">
        <v>302</v>
      </c>
      <c r="C35" s="7">
        <v>12</v>
      </c>
      <c r="D35" s="8">
        <v>444</v>
      </c>
      <c r="E35" s="9">
        <v>5.631</v>
      </c>
      <c r="F35" s="6" t="s">
        <v>90</v>
      </c>
      <c r="G35" s="6" t="s">
        <v>17</v>
      </c>
      <c r="H35" s="6">
        <v>1</v>
      </c>
      <c r="I35" s="6">
        <v>0</v>
      </c>
      <c r="J35" s="6">
        <v>1</v>
      </c>
      <c r="K35" s="6">
        <v>0</v>
      </c>
      <c r="L35" s="6">
        <v>1</v>
      </c>
      <c r="M35" s="6">
        <v>9</v>
      </c>
      <c r="N35" s="6" t="s">
        <v>244</v>
      </c>
    </row>
    <row r="36" spans="1:14">
      <c r="A36" s="6" t="s">
        <v>303</v>
      </c>
      <c r="B36" s="6" t="s">
        <v>304</v>
      </c>
      <c r="C36" s="7">
        <v>10</v>
      </c>
      <c r="D36" s="8">
        <v>418</v>
      </c>
      <c r="E36" s="9">
        <v>4.426</v>
      </c>
      <c r="F36" s="6" t="s">
        <v>77</v>
      </c>
      <c r="G36" s="6" t="s">
        <v>15</v>
      </c>
      <c r="H36" s="6">
        <v>1</v>
      </c>
      <c r="I36" s="6">
        <v>1</v>
      </c>
      <c r="J36" s="6">
        <v>1</v>
      </c>
      <c r="K36" s="6">
        <v>2</v>
      </c>
      <c r="L36" s="6">
        <v>1</v>
      </c>
      <c r="M36" s="6">
        <v>4</v>
      </c>
      <c r="N36" s="6" t="s">
        <v>244</v>
      </c>
    </row>
    <row r="37" spans="1:14">
      <c r="A37" s="6" t="s">
        <v>305</v>
      </c>
      <c r="B37" s="6" t="s">
        <v>306</v>
      </c>
      <c r="C37" s="7">
        <v>10</v>
      </c>
      <c r="D37" s="8">
        <v>650</v>
      </c>
      <c r="E37" s="9">
        <v>5.902</v>
      </c>
      <c r="F37" s="6" t="s">
        <v>90</v>
      </c>
      <c r="G37" s="6" t="s">
        <v>17</v>
      </c>
      <c r="H37" s="6">
        <v>0</v>
      </c>
      <c r="I37" s="6">
        <v>0</v>
      </c>
      <c r="J37" s="6">
        <v>0</v>
      </c>
      <c r="K37" s="6">
        <v>1</v>
      </c>
      <c r="L37" s="6">
        <v>0</v>
      </c>
      <c r="M37" s="6">
        <v>9</v>
      </c>
      <c r="N37" s="6" t="s">
        <v>244</v>
      </c>
    </row>
    <row r="38" spans="1:14">
      <c r="A38" s="6" t="s">
        <v>76</v>
      </c>
      <c r="B38" s="6" t="s">
        <v>307</v>
      </c>
      <c r="C38" s="7">
        <v>8</v>
      </c>
      <c r="D38" s="8">
        <v>550</v>
      </c>
      <c r="E38" s="9">
        <v>4.362</v>
      </c>
      <c r="F38" s="6" t="s">
        <v>77</v>
      </c>
      <c r="G38" s="6" t="s">
        <v>15</v>
      </c>
      <c r="H38" s="6">
        <v>1</v>
      </c>
      <c r="I38" s="6">
        <v>0</v>
      </c>
      <c r="J38" s="6">
        <v>0</v>
      </c>
      <c r="K38" s="6">
        <v>1</v>
      </c>
      <c r="L38" s="6">
        <v>0</v>
      </c>
      <c r="M38" s="6">
        <v>6</v>
      </c>
      <c r="N38" s="6" t="s">
        <v>244</v>
      </c>
    </row>
    <row r="39" spans="1:14">
      <c r="A39" s="6" t="s">
        <v>308</v>
      </c>
      <c r="B39" s="6" t="s">
        <v>309</v>
      </c>
      <c r="C39" s="7">
        <v>2</v>
      </c>
      <c r="D39" s="8">
        <v>83</v>
      </c>
      <c r="E39" s="9">
        <v>4</v>
      </c>
      <c r="F39" s="6" t="s">
        <v>77</v>
      </c>
      <c r="G39" s="6" t="s">
        <v>15</v>
      </c>
      <c r="H39" s="6">
        <v>0</v>
      </c>
      <c r="I39" s="6">
        <v>0</v>
      </c>
      <c r="J39" s="6">
        <v>0</v>
      </c>
      <c r="K39" s="6">
        <v>2</v>
      </c>
      <c r="L39" s="6">
        <v>0</v>
      </c>
      <c r="M39" s="6">
        <v>0</v>
      </c>
      <c r="N39" s="6" t="s">
        <v>244</v>
      </c>
    </row>
    <row r="40" spans="1:14">
      <c r="A40" s="6" t="s">
        <v>83</v>
      </c>
      <c r="B40" s="6" t="s">
        <v>310</v>
      </c>
      <c r="C40" s="7">
        <v>3</v>
      </c>
      <c r="D40" s="8">
        <v>72</v>
      </c>
      <c r="E40" s="9">
        <v>2.597</v>
      </c>
      <c r="F40" s="6" t="s">
        <v>55</v>
      </c>
      <c r="G40" s="6" t="s">
        <v>15</v>
      </c>
      <c r="H40" s="6">
        <v>2</v>
      </c>
      <c r="I40" s="6">
        <v>0</v>
      </c>
      <c r="J40" s="6">
        <v>0</v>
      </c>
      <c r="K40" s="6">
        <v>0</v>
      </c>
      <c r="L40" s="6">
        <v>0</v>
      </c>
      <c r="M40" s="6">
        <v>1</v>
      </c>
      <c r="N40" s="6" t="s">
        <v>244</v>
      </c>
    </row>
    <row r="41" spans="1:14">
      <c r="A41" s="6" t="s">
        <v>311</v>
      </c>
      <c r="B41" s="6" t="s">
        <v>312</v>
      </c>
      <c r="C41" s="7">
        <v>2</v>
      </c>
      <c r="D41" s="8">
        <v>41</v>
      </c>
      <c r="E41" s="9">
        <v>5.854</v>
      </c>
      <c r="F41" s="6" t="s">
        <v>90</v>
      </c>
      <c r="G41" s="6" t="s">
        <v>17</v>
      </c>
      <c r="H41" s="6">
        <v>0</v>
      </c>
      <c r="I41" s="6">
        <v>0</v>
      </c>
      <c r="J41" s="6">
        <v>0</v>
      </c>
      <c r="K41" s="6">
        <v>1</v>
      </c>
      <c r="L41" s="6">
        <v>0</v>
      </c>
      <c r="M41" s="6">
        <v>1</v>
      </c>
      <c r="N41" s="6" t="s">
        <v>244</v>
      </c>
    </row>
    <row r="42" spans="1:14">
      <c r="A42" s="6" t="s">
        <v>89</v>
      </c>
      <c r="B42" s="6" t="s">
        <v>313</v>
      </c>
      <c r="C42" s="7">
        <v>2</v>
      </c>
      <c r="D42" s="8">
        <v>262</v>
      </c>
      <c r="E42" s="9">
        <v>6</v>
      </c>
      <c r="F42" s="6" t="s">
        <v>90</v>
      </c>
      <c r="G42" s="6" t="s">
        <v>17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2</v>
      </c>
      <c r="N42" s="6" t="s">
        <v>244</v>
      </c>
    </row>
    <row r="43" spans="1:14">
      <c r="A43" s="6" t="s">
        <v>314</v>
      </c>
      <c r="B43" s="6" t="s">
        <v>315</v>
      </c>
      <c r="C43" s="7">
        <v>0</v>
      </c>
      <c r="D43" s="8">
        <v>0</v>
      </c>
      <c r="E43" s="9"/>
      <c r="F43" s="6" t="s">
        <v>316</v>
      </c>
      <c r="G43" s="6" t="s">
        <v>316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 t="s">
        <v>317</v>
      </c>
    </row>
    <row r="44" spans="1:14">
      <c r="A44" s="6" t="s">
        <v>318</v>
      </c>
      <c r="B44" s="6" t="s">
        <v>319</v>
      </c>
      <c r="C44" s="7">
        <v>0</v>
      </c>
      <c r="D44" s="8">
        <v>0</v>
      </c>
      <c r="E44" s="9"/>
      <c r="F44" s="6" t="s">
        <v>316</v>
      </c>
      <c r="G44" s="6" t="s">
        <v>316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 t="s">
        <v>317</v>
      </c>
    </row>
    <row r="45" spans="1:14">
      <c r="A45" s="6" t="s">
        <v>320</v>
      </c>
      <c r="B45" s="6" t="s">
        <v>321</v>
      </c>
      <c r="C45" s="7">
        <v>1</v>
      </c>
      <c r="D45" s="8">
        <v>68</v>
      </c>
      <c r="E45" s="9">
        <v>6</v>
      </c>
      <c r="F45" s="6" t="s">
        <v>90</v>
      </c>
      <c r="G45" s="6" t="s">
        <v>17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1</v>
      </c>
      <c r="N45" s="6" t="s">
        <v>244</v>
      </c>
    </row>
    <row r="46" spans="1:14">
      <c r="A46" s="6" t="s">
        <v>322</v>
      </c>
      <c r="B46" s="6" t="s">
        <v>323</v>
      </c>
      <c r="C46" s="7">
        <v>47</v>
      </c>
      <c r="D46" s="8">
        <v>10619</v>
      </c>
      <c r="E46" s="9">
        <v>1.582</v>
      </c>
      <c r="F46" s="6" t="s">
        <v>64</v>
      </c>
      <c r="G46" s="6" t="s">
        <v>12</v>
      </c>
      <c r="H46" s="6">
        <v>34</v>
      </c>
      <c r="I46" s="6">
        <v>1</v>
      </c>
      <c r="J46" s="6">
        <v>3</v>
      </c>
      <c r="K46" s="6">
        <v>0</v>
      </c>
      <c r="L46" s="6">
        <v>1</v>
      </c>
      <c r="M46" s="6">
        <v>8</v>
      </c>
      <c r="N46" s="6" t="s">
        <v>244</v>
      </c>
    </row>
    <row r="47" spans="1:14">
      <c r="A47" s="6" t="s">
        <v>324</v>
      </c>
      <c r="B47" s="6" t="s">
        <v>325</v>
      </c>
      <c r="C47" s="7">
        <v>61</v>
      </c>
      <c r="D47" s="8">
        <v>3379</v>
      </c>
      <c r="E47" s="9">
        <v>2.542</v>
      </c>
      <c r="F47" s="6" t="s">
        <v>55</v>
      </c>
      <c r="G47" s="6" t="s">
        <v>15</v>
      </c>
      <c r="H47" s="6">
        <v>31</v>
      </c>
      <c r="I47" s="6">
        <v>3</v>
      </c>
      <c r="J47" s="6">
        <v>1</v>
      </c>
      <c r="K47" s="6">
        <v>1</v>
      </c>
      <c r="L47" s="6">
        <v>0</v>
      </c>
      <c r="M47" s="6">
        <v>25</v>
      </c>
      <c r="N47" s="6" t="s">
        <v>244</v>
      </c>
    </row>
    <row r="48" spans="1:14">
      <c r="A48" s="6" t="s">
        <v>326</v>
      </c>
      <c r="B48" s="6" t="s">
        <v>327</v>
      </c>
      <c r="C48" s="7">
        <v>178</v>
      </c>
      <c r="D48" s="8">
        <v>7106</v>
      </c>
      <c r="E48" s="9">
        <v>1.564</v>
      </c>
      <c r="F48" s="6" t="s">
        <v>64</v>
      </c>
      <c r="G48" s="6" t="s">
        <v>12</v>
      </c>
      <c r="H48" s="6">
        <v>143</v>
      </c>
      <c r="I48" s="6">
        <v>3</v>
      </c>
      <c r="J48" s="6">
        <v>4</v>
      </c>
      <c r="K48" s="6">
        <v>6</v>
      </c>
      <c r="L48" s="6">
        <v>6</v>
      </c>
      <c r="M48" s="6">
        <v>16</v>
      </c>
      <c r="N48" s="6" t="s">
        <v>244</v>
      </c>
    </row>
    <row r="49" spans="1:14">
      <c r="A49" s="6" t="s">
        <v>328</v>
      </c>
      <c r="B49" s="6" t="s">
        <v>329</v>
      </c>
      <c r="C49" s="7">
        <v>3996</v>
      </c>
      <c r="D49" s="8">
        <v>153967</v>
      </c>
      <c r="E49" s="9">
        <v>3.611</v>
      </c>
      <c r="F49" s="6" t="s">
        <v>77</v>
      </c>
      <c r="G49" s="6" t="s">
        <v>15</v>
      </c>
      <c r="H49" s="6">
        <v>446</v>
      </c>
      <c r="I49" s="6">
        <v>232</v>
      </c>
      <c r="J49" s="6">
        <v>1101</v>
      </c>
      <c r="K49" s="6">
        <v>483</v>
      </c>
      <c r="L49" s="6">
        <v>1205</v>
      </c>
      <c r="M49" s="6">
        <v>529</v>
      </c>
      <c r="N49" s="6" t="s">
        <v>244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11" sqref="D11"/>
    </sheetView>
  </sheetViews>
  <sheetFormatPr defaultColWidth="9" defaultRowHeight="13.8" outlineLevelCol="4"/>
  <cols>
    <col min="1" max="1" width="29.8833333333333" customWidth="1"/>
    <col min="2" max="2" width="19.9166666666667" customWidth="1"/>
    <col min="3" max="3" width="38.3583333333333" customWidth="1"/>
    <col min="4" max="4" width="48.7166666666667" customWidth="1"/>
    <col min="5" max="5" width="60" customWidth="1"/>
  </cols>
  <sheetData>
    <row r="1" ht="34" customHeight="1" spans="1:5">
      <c r="A1" s="3" t="s">
        <v>330</v>
      </c>
      <c r="B1" s="3" t="s">
        <v>331</v>
      </c>
      <c r="C1" s="3" t="s">
        <v>332</v>
      </c>
      <c r="D1" s="3" t="s">
        <v>333</v>
      </c>
      <c r="E1" s="3" t="s">
        <v>334</v>
      </c>
    </row>
    <row r="2" ht="27.6" spans="1:5">
      <c r="A2" s="6" t="s">
        <v>335</v>
      </c>
      <c r="B2" s="6" t="s">
        <v>336</v>
      </c>
      <c r="C2" s="6" t="s">
        <v>337</v>
      </c>
      <c r="D2" s="6" t="s">
        <v>338</v>
      </c>
      <c r="E2" s="6" t="s">
        <v>339</v>
      </c>
    </row>
    <row r="3" spans="1:5">
      <c r="A3" s="6" t="s">
        <v>340</v>
      </c>
      <c r="B3" s="6" t="s">
        <v>341</v>
      </c>
      <c r="C3" s="6" t="s">
        <v>342</v>
      </c>
      <c r="D3" s="6" t="s">
        <v>343</v>
      </c>
      <c r="E3" s="6" t="s">
        <v>344</v>
      </c>
    </row>
    <row r="4" spans="1:5">
      <c r="A4" s="6" t="s">
        <v>345</v>
      </c>
      <c r="B4" s="6" t="s">
        <v>346</v>
      </c>
      <c r="C4" s="6" t="s">
        <v>347</v>
      </c>
      <c r="D4" s="6" t="s">
        <v>343</v>
      </c>
      <c r="E4" s="6" t="s">
        <v>348</v>
      </c>
    </row>
    <row r="5" ht="27.6" spans="1:5">
      <c r="A5" s="6" t="s">
        <v>349</v>
      </c>
      <c r="B5" s="6" t="s">
        <v>350</v>
      </c>
      <c r="C5" s="6" t="s">
        <v>351</v>
      </c>
      <c r="D5" s="6" t="s">
        <v>352</v>
      </c>
      <c r="E5" s="6" t="s">
        <v>353</v>
      </c>
    </row>
    <row r="6" spans="1:5">
      <c r="A6" s="6" t="s">
        <v>354</v>
      </c>
      <c r="B6" s="6" t="s">
        <v>355</v>
      </c>
      <c r="C6" s="6" t="s">
        <v>356</v>
      </c>
      <c r="D6" s="6" t="s">
        <v>25</v>
      </c>
      <c r="E6" s="6" t="s">
        <v>357</v>
      </c>
    </row>
    <row r="7" ht="27.6" spans="1:5">
      <c r="A7" s="6" t="s">
        <v>358</v>
      </c>
      <c r="B7" s="6" t="s">
        <v>359</v>
      </c>
      <c r="C7" s="6" t="s">
        <v>360</v>
      </c>
      <c r="D7" s="6" t="s">
        <v>361</v>
      </c>
      <c r="E7" s="6" t="s">
        <v>362</v>
      </c>
    </row>
    <row r="8" spans="1:5">
      <c r="A8" s="6" t="s">
        <v>363</v>
      </c>
      <c r="B8" s="6" t="s">
        <v>364</v>
      </c>
      <c r="C8" s="6" t="s">
        <v>365</v>
      </c>
      <c r="D8" s="6" t="s">
        <v>366</v>
      </c>
      <c r="E8" s="6" t="s">
        <v>367</v>
      </c>
    </row>
    <row r="9" spans="1:5">
      <c r="A9" s="6" t="s">
        <v>368</v>
      </c>
      <c r="B9" s="6" t="s">
        <v>369</v>
      </c>
      <c r="C9" s="6" t="s">
        <v>365</v>
      </c>
      <c r="D9" s="6" t="s">
        <v>370</v>
      </c>
      <c r="E9" s="6" t="s">
        <v>371</v>
      </c>
    </row>
    <row r="10" spans="1:5">
      <c r="A10" t="s">
        <v>372</v>
      </c>
      <c r="B10" t="s">
        <v>373</v>
      </c>
      <c r="C10" t="s">
        <v>374</v>
      </c>
      <c r="D10" t="s">
        <v>375</v>
      </c>
      <c r="E10" t="s">
        <v>376</v>
      </c>
    </row>
    <row r="11" spans="1:5">
      <c r="A11" t="s">
        <v>377</v>
      </c>
      <c r="B11" t="s">
        <v>378</v>
      </c>
      <c r="C11" t="s">
        <v>379</v>
      </c>
      <c r="D11" t="s">
        <v>8</v>
      </c>
      <c r="E11" t="s">
        <v>380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3.8" outlineLevelRow="4" outlineLevelCol="5"/>
  <cols>
    <col min="1" max="1" width="19.25" customWidth="1"/>
    <col min="2" max="2" width="27.7333333333333" customWidth="1"/>
    <col min="3" max="3" width="23.4166666666667" customWidth="1"/>
    <col min="4" max="4" width="26.7833333333333" customWidth="1"/>
    <col min="5" max="5" width="50.0666666666667" customWidth="1"/>
    <col min="6" max="6" width="60" customWidth="1"/>
  </cols>
  <sheetData>
    <row r="1" ht="34" customHeight="1" spans="1:6">
      <c r="A1" s="3" t="s">
        <v>381</v>
      </c>
      <c r="B1" s="3" t="s">
        <v>382</v>
      </c>
      <c r="C1" s="3" t="s">
        <v>383</v>
      </c>
      <c r="D1" s="3" t="s">
        <v>384</v>
      </c>
      <c r="E1" s="3" t="s">
        <v>385</v>
      </c>
      <c r="F1" s="3" t="s">
        <v>10</v>
      </c>
    </row>
    <row r="2" spans="1:6">
      <c r="A2" t="s">
        <v>386</v>
      </c>
      <c r="B2" s="5">
        <v>83.3</v>
      </c>
      <c r="C2" s="5">
        <v>0.0833</v>
      </c>
      <c r="D2" s="5">
        <v>3858</v>
      </c>
      <c r="E2" s="5">
        <v>321000</v>
      </c>
      <c r="F2" t="s">
        <v>387</v>
      </c>
    </row>
    <row r="3" spans="1:6">
      <c r="A3" t="s">
        <v>388</v>
      </c>
      <c r="B3" s="5">
        <v>140</v>
      </c>
      <c r="C3" s="5">
        <v>0.14</v>
      </c>
      <c r="D3" s="5">
        <v>3858</v>
      </c>
      <c r="E3" s="5">
        <v>540000</v>
      </c>
      <c r="F3" t="s">
        <v>387</v>
      </c>
    </row>
    <row r="4" spans="1:6">
      <c r="A4" t="s">
        <v>389</v>
      </c>
      <c r="B4" s="5">
        <v>200</v>
      </c>
      <c r="C4" s="5">
        <v>0.2</v>
      </c>
      <c r="D4" s="5">
        <v>3858</v>
      </c>
      <c r="E4" s="5">
        <v>772000</v>
      </c>
      <c r="F4" t="s">
        <v>387</v>
      </c>
    </row>
    <row r="5" spans="1:6">
      <c r="A5" t="s">
        <v>390</v>
      </c>
      <c r="B5" t="s">
        <v>389</v>
      </c>
      <c r="C5">
        <v>0.2</v>
      </c>
      <c r="D5">
        <v>3858</v>
      </c>
      <c r="E5" t="s">
        <v>391</v>
      </c>
      <c r="F5" t="s">
        <v>392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"/>
  <sheetViews>
    <sheetView workbookViewId="0">
      <selection activeCell="D7" sqref="D7"/>
    </sheetView>
  </sheetViews>
  <sheetFormatPr defaultColWidth="9" defaultRowHeight="13.8"/>
  <cols>
    <col min="1" max="1" width="28" customWidth="1"/>
    <col min="2" max="2" width="34" customWidth="1"/>
    <col min="3" max="4" width="58" customWidth="1"/>
  </cols>
  <sheetData>
    <row r="1" ht="34" customHeight="1" spans="1:26">
      <c r="A1" s="1" t="s">
        <v>393</v>
      </c>
      <c r="B1" s="2" t="s">
        <v>394</v>
      </c>
      <c r="C1" s="1" t="s">
        <v>395</v>
      </c>
      <c r="D1" s="1" t="s">
        <v>396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6" spans="1:4">
      <c r="A2" s="4" t="s">
        <v>397</v>
      </c>
      <c r="B2" s="4">
        <v>3858</v>
      </c>
      <c r="C2" s="4" t="s">
        <v>398</v>
      </c>
      <c r="D2" s="4" t="s">
        <v>387</v>
      </c>
    </row>
    <row r="3" ht="27.6" spans="1:4">
      <c r="A3" s="4" t="s">
        <v>399</v>
      </c>
      <c r="B3" s="4">
        <v>0.248548</v>
      </c>
      <c r="C3" s="4" t="s">
        <v>400</v>
      </c>
      <c r="D3" s="4" t="s">
        <v>401</v>
      </c>
    </row>
    <row r="4" ht="27.6" spans="1:4">
      <c r="A4" s="4" t="s">
        <v>402</v>
      </c>
      <c r="B4" s="4">
        <v>0.2</v>
      </c>
      <c r="C4" s="4" t="s">
        <v>403</v>
      </c>
      <c r="D4" s="4" t="s">
        <v>387</v>
      </c>
    </row>
    <row r="5" ht="27.6" spans="1:4">
      <c r="A5" s="4" t="s">
        <v>404</v>
      </c>
      <c r="B5" s="4" t="s">
        <v>405</v>
      </c>
      <c r="C5" s="4" t="s">
        <v>406</v>
      </c>
      <c r="D5" s="4" t="s">
        <v>407</v>
      </c>
    </row>
    <row r="6" ht="27.6" spans="1:4">
      <c r="A6" s="4" t="s">
        <v>408</v>
      </c>
      <c r="B6" s="4" t="s">
        <v>409</v>
      </c>
      <c r="C6" s="4" t="s">
        <v>410</v>
      </c>
      <c r="D6" s="4" t="s">
        <v>411</v>
      </c>
    </row>
    <row r="7" ht="27.6" spans="1:4">
      <c r="A7" s="4" t="s">
        <v>412</v>
      </c>
      <c r="B7" s="4" t="s">
        <v>413</v>
      </c>
      <c r="C7" s="4" t="s">
        <v>414</v>
      </c>
      <c r="D7" s="4" t="s">
        <v>415</v>
      </c>
    </row>
    <row r="8" ht="27.6" spans="1:4">
      <c r="A8" s="4" t="s">
        <v>416</v>
      </c>
      <c r="B8" s="4" t="s">
        <v>417</v>
      </c>
      <c r="C8" s="4" t="s">
        <v>418</v>
      </c>
      <c r="D8" s="4" t="s">
        <v>419</v>
      </c>
    </row>
    <row r="9" ht="27.6" spans="1:4">
      <c r="A9" s="4" t="s">
        <v>420</v>
      </c>
      <c r="B9" s="4" t="s">
        <v>421</v>
      </c>
      <c r="C9" s="4" t="s">
        <v>422</v>
      </c>
      <c r="D9" s="4" t="s">
        <v>423</v>
      </c>
    </row>
    <row r="10" ht="27.6" spans="1:4">
      <c r="A10" s="4" t="s">
        <v>424</v>
      </c>
      <c r="B10" s="4" t="s">
        <v>425</v>
      </c>
      <c r="C10" s="4" t="s">
        <v>426</v>
      </c>
      <c r="D10" s="4" t="s">
        <v>427</v>
      </c>
    </row>
    <row r="11" spans="1:4">
      <c r="A11" s="4" t="s">
        <v>428</v>
      </c>
      <c r="B11" s="4" t="s">
        <v>429</v>
      </c>
      <c r="C11" s="4" t="s">
        <v>430</v>
      </c>
      <c r="D11" s="4" t="s">
        <v>431</v>
      </c>
    </row>
    <row r="12" ht="27.6" spans="1:4">
      <c r="A12" s="4" t="s">
        <v>432</v>
      </c>
      <c r="B12" s="4" t="s">
        <v>433</v>
      </c>
      <c r="C12" s="4" t="s">
        <v>434</v>
      </c>
      <c r="D12" s="4" t="s">
        <v>435</v>
      </c>
    </row>
    <row r="13" ht="41.4" spans="1:4">
      <c r="A13" s="4" t="s">
        <v>436</v>
      </c>
      <c r="B13" s="4" t="s">
        <v>437</v>
      </c>
      <c r="C13" s="4" t="s">
        <v>438</v>
      </c>
      <c r="D13" s="4" t="s">
        <v>439</v>
      </c>
    </row>
    <row r="14" spans="1:4">
      <c r="A14" s="4" t="s">
        <v>440</v>
      </c>
      <c r="B14" s="4" t="s">
        <v>441</v>
      </c>
      <c r="C14" s="4" t="s">
        <v>442</v>
      </c>
      <c r="D14" s="4" t="s">
        <v>443</v>
      </c>
    </row>
    <row r="15" ht="27.6" spans="1:4">
      <c r="A15" s="4" t="s">
        <v>444</v>
      </c>
      <c r="B15" s="4" t="s">
        <v>445</v>
      </c>
      <c r="C15" s="4" t="s">
        <v>446</v>
      </c>
      <c r="D15" s="4" t="s">
        <v>447</v>
      </c>
    </row>
    <row r="16" ht="27.6" spans="1:4">
      <c r="A16" s="4" t="s">
        <v>448</v>
      </c>
      <c r="B16" s="4" t="s">
        <v>449</v>
      </c>
      <c r="C16" s="4" t="s">
        <v>450</v>
      </c>
      <c r="D16" s="4" t="s">
        <v>451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Summary</vt:lpstr>
      <vt:lpstr>Final_Dataset</vt:lpstr>
      <vt:lpstr>Route_Steps</vt:lpstr>
      <vt:lpstr>Raw_Nodes</vt:lpstr>
      <vt:lpstr>Traffic_Source</vt:lpstr>
      <vt:lpstr>Unit_Conversion</vt:lpstr>
      <vt:lpstr>VinFast_Source_Rates</vt:lpstr>
      <vt:lpstr>Assumptions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</cp:lastModifiedBy>
  <dcterms:created xsi:type="dcterms:W3CDTF">2026-05-26T08:23:40Z</dcterms:created>
  <dcterms:modified xsi:type="dcterms:W3CDTF">2026-05-26T08:26:52Z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FECA545A89074F8B9C0A956C9F1B8A3E_12</vt:lpwstr>
  </property>
  <property fmtid="{D5CDD505-2E9C-101B-9397-08002B2CF9AE}" pid="3" name="KSOProductBuildVer">
    <vt:lpwstr>1033-12.2.0.22222</vt:lpwstr>
  </property>
</Properties>
</file>